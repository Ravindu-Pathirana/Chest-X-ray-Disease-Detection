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ster &amp; Legend" sheetId="1" state="visible" r:id="rId3"/>
    <sheet name="Milestones &amp; Gates" sheetId="2" state="visible" r:id="rId4"/>
    <sheet name="Master Task List" sheetId="3" state="visible" r:id="rId5"/>
    <sheet name="M1 Board" sheetId="4" state="visible" r:id="rId6"/>
    <sheet name="M2 Board" sheetId="5" state="visible" r:id="rId7"/>
    <sheet name="M3 Board" sheetId="6" state="visible" r:id="rId8"/>
    <sheet name="M4 Board" sheetId="7" state="visible" r:id="rId9"/>
    <sheet name="M5 Board" sheetId="8" state="visible" r:id="rId10"/>
    <sheet name="Dashboar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<sst xmlns="http://schemas.openxmlformats.org/spreadsheetml/2006/main" count="1273" uniqueCount="291">
  <si>
    <t xml:space="preserve">PROJECT ROSTER  —  Trustworthy Chest X-ray Deep Learning (5-member team)</t>
  </si>
  <si>
    <t xml:space="preserve">Everyone owns one DNN model end-to-end (train → calibrate → explain → robustness → efficiency) AND one shared lead role AND paper sections.</t>
  </si>
  <si>
    <t xml:space="preserve">Code</t>
  </si>
  <si>
    <t xml:space="preserve">Member / Role</t>
  </si>
  <si>
    <t xml:space="preserve">DNN Model Owned</t>
  </si>
  <si>
    <t xml:space="preserve">Shared Lead Role</t>
  </si>
  <si>
    <t xml:space="preserve">Paper Sections</t>
  </si>
  <si>
    <t xml:space="preserve">Key Deliverables</t>
  </si>
  <si>
    <t xml:space="preserve">M1</t>
  </si>
  <si>
    <t xml:space="preserve">Member 1 — ResNet50 &amp; Reproducibility/Lit Lead</t>
  </si>
  <si>
    <t xml:space="preserve">ResNet50 (CNN)</t>
  </si>
  <si>
    <t xml:space="preserve">Repo, experiment-tracking, seeds, references</t>
  </si>
  <si>
    <t xml:space="preserve">Intro, Related Work, Gap, Conclusion, Abstract</t>
  </si>
  <si>
    <t xml:space="preserve">ResNet50 full pipeline; reproducible repo; literature</t>
  </si>
  <si>
    <t xml:space="preserve">M2</t>
  </si>
  <si>
    <t xml:space="preserve">Member 2 — DenseNet121 &amp; Data Pipeline Lead</t>
  </si>
  <si>
    <t xml:space="preserve">DenseNet121 (CNN)</t>
  </si>
  <si>
    <t xml:space="preserve">Preprocessing, augmentation, split, dataloaders (shared)</t>
  </si>
  <si>
    <t xml:space="preserve">Methodology</t>
  </si>
  <si>
    <t xml:space="preserve">DenseNet121 full pipeline; shared data pipeline; baseline</t>
  </si>
  <si>
    <t xml:space="preserve">M3</t>
  </si>
  <si>
    <t xml:space="preserve">Member 3 — EfficientNet-B0 &amp; Efficiency Lead</t>
  </si>
  <si>
    <t xml:space="preserve">EfficientNet-B0 (CNN)</t>
  </si>
  <si>
    <t xml:space="preserve">Efficiency harness, Pareto, compute setup</t>
  </si>
  <si>
    <t xml:space="preserve">Slides</t>
  </si>
  <si>
    <t xml:space="preserve">EfficientNet full pipeline; efficiency benchmark; Pareto</t>
  </si>
  <si>
    <t xml:space="preserve">M4</t>
  </si>
  <si>
    <t xml:space="preserve">Member 4 — ViT-Base &amp; Explainability Lead</t>
  </si>
  <si>
    <t xml:space="preserve">ViT-Base (Transformer)</t>
  </si>
  <si>
    <t xml:space="preserve">XAI standard (Grad-CAM/rollout/SHAP/faithfulness), figures</t>
  </si>
  <si>
    <t xml:space="preserve">Discussion</t>
  </si>
  <si>
    <t xml:space="preserve">ViT full pipeline; XAI module; all figures</t>
  </si>
  <si>
    <t xml:space="preserve">M5</t>
  </si>
  <si>
    <t xml:space="preserve">Member 5 — Segmentation/Eval &amp; Paper Lead</t>
  </si>
  <si>
    <t xml:space="preserve">U-Net lung segmentation</t>
  </si>
  <si>
    <t xml:space="preserve">Calibration + robustness protocol, external data, stats</t>
  </si>
  <si>
    <t xml:space="preserve">Results, final assembly</t>
  </si>
  <si>
    <t xml:space="preserve">Segmentation; calibration+OOD protocol; consolidation; paper</t>
  </si>
  <si>
    <t xml:space="preserve">LEGEND</t>
  </si>
  <si>
    <t xml:space="preserve">Status values</t>
  </si>
  <si>
    <t xml:space="preserve">Not started  /  In progress  /  Blocked  /  Done  (dropdown in Master Task List, column J)</t>
  </si>
  <si>
    <t xml:space="preserve">Milestone codes</t>
  </si>
  <si>
    <t xml:space="preserve">M0 End W1 · M1 End W2 · M2 Mid W3 · M3 End W3 · M4 End W4 (see 'Milestones &amp; Gates' tab)</t>
  </si>
  <si>
    <t xml:space="preserve">[GATE]</t>
  </si>
  <si>
    <t xml:space="preserve">A checkpoint that blocks downstream work until signed off.</t>
  </si>
  <si>
    <t xml:space="preserve">Owner</t>
  </si>
  <si>
    <t xml:space="preserve">Person accountable (does the work). Support = assists / reviews (RACI).</t>
  </si>
  <si>
    <t xml:space="preserve">Week</t>
  </si>
  <si>
    <t xml:space="preserve">W1–W4 of the one-month plan.</t>
  </si>
  <si>
    <t xml:space="preserve">Trust axes</t>
  </si>
  <si>
    <t xml:space="preserve">Accuracy · Calibration · Explainability/Faithfulness · Robustness (OOD) · Efficiency</t>
  </si>
  <si>
    <t xml:space="preserve">MAIN MILESTONES &amp; GATES</t>
  </si>
  <si>
    <t xml:space="preserve">Milestone</t>
  </si>
  <si>
    <t xml:space="preserve">Due</t>
  </si>
  <si>
    <t xml:space="preserve">Name</t>
  </si>
  <si>
    <t xml:space="preserve">Gate criteria (must all be true to pass)</t>
  </si>
  <si>
    <t xml:space="preserve">Sign-off owner</t>
  </si>
  <si>
    <t xml:space="preserve">M0</t>
  </si>
  <si>
    <t xml:space="preserve">End of Week 1</t>
  </si>
  <si>
    <t xml:space="preserve">Foundations Ready</t>
  </si>
  <si>
    <t xml:space="preserve">Shared data pipeline frozen &amp; reproducible; single baseline (DenseNet121) trains end-to-end; external data prepared; lit-review drafted.</t>
  </si>
  <si>
    <t xml:space="preserve">M2 / M1</t>
  </si>
  <si>
    <t xml:space="preserve">End of Week 2</t>
  </si>
  <si>
    <t xml:space="preserve">All Models Trained</t>
  </si>
  <si>
    <t xml:space="preserve">All 4 classification models trained (frozen + fine-tuned) with accuracy tables; U-Net segmentation model ready.</t>
  </si>
  <si>
    <t xml:space="preserve">Model owners / M5</t>
  </si>
  <si>
    <t xml:space="preserve">Mid Week 3</t>
  </si>
  <si>
    <t xml:space="preserve">Trust Experiments Done</t>
  </si>
  <si>
    <t xml:space="preserve">Calibration + explainability + faithfulness completed for all 4 models under shared standards.</t>
  </si>
  <si>
    <t xml:space="preserve">M4 / M5</t>
  </si>
  <si>
    <t xml:space="preserve">End of Week 3</t>
  </si>
  <si>
    <t xml:space="preserve">Robustness &amp; Efficiency Done</t>
  </si>
  <si>
    <t xml:space="preserve">External OOD test + efficiency benchmark for all models; segmentation-ablation (shortcut) experiment complete.</t>
  </si>
  <si>
    <t xml:space="preserve">M5 / M3</t>
  </si>
  <si>
    <t xml:space="preserve">End of Week 4</t>
  </si>
  <si>
    <t xml:space="preserve">Paper &amp; Slides Camera-Ready</t>
  </si>
  <si>
    <t xml:space="preserve">Consolidated analysis, Pareto trade-off, full paper draft, slides; reproducibility rerun passes.</t>
  </si>
  <si>
    <t xml:space="preserve">M1 / M5</t>
  </si>
  <si>
    <t xml:space="preserve">MASTER TASK LIST  —  single source of truth (update Status in column J)</t>
  </si>
  <si>
    <t xml:space="preserve">ID</t>
  </si>
  <si>
    <t xml:space="preserve">Epic</t>
  </si>
  <si>
    <t xml:space="preserve">Task / Sub-issue</t>
  </si>
  <si>
    <t xml:space="preserve">Support</t>
  </si>
  <si>
    <t xml:space="preserve">M.stone</t>
  </si>
  <si>
    <t xml:space="preserve">Depends on</t>
  </si>
  <si>
    <t xml:space="preserve">Est. days</t>
  </si>
  <si>
    <t xml:space="preserve">Status</t>
  </si>
  <si>
    <t xml:space="preserve">Notes</t>
  </si>
  <si>
    <t xml:space="preserve">T01</t>
  </si>
  <si>
    <t xml:space="preserve">0 Setup</t>
  </si>
  <si>
    <t xml:space="preserve">Create GitHub repo, branch strategy &amp; folder layout (data/ src/ notebooks/ results/ paper/)</t>
  </si>
  <si>
    <t xml:space="preserve">All</t>
  </si>
  <si>
    <t xml:space="preserve">W1</t>
  </si>
  <si>
    <t xml:space="preserve">-</t>
  </si>
  <si>
    <t xml:space="preserve">Not started</t>
  </si>
  <si>
    <t xml:space="preserve">T02</t>
  </si>
  <si>
    <t xml:space="preserve">Set up experiment tracking (W&amp;B/TensorBoard) + fixed-seed &amp; reproducibility standard</t>
  </si>
  <si>
    <t xml:space="preserve">T03</t>
  </si>
  <si>
    <t xml:space="preserve">Compute setup: Colab/Kaggle GPU, requirements.txt, env pinning</t>
  </si>
  <si>
    <t xml:space="preserve">T04</t>
  </si>
  <si>
    <t xml:space="preserve">Define shared config: image size, split ratios, metrics schema, checkpoint format</t>
  </si>
  <si>
    <t xml:space="preserve">T05</t>
  </si>
  <si>
    <t xml:space="preserve">1 Data</t>
  </si>
  <si>
    <t xml:space="preserve">Download COVID-19 Radiography dataset; integrity check; class-count report</t>
  </si>
  <si>
    <t xml:space="preserve">T06</t>
  </si>
  <si>
    <t xml:space="preserve">Build preprocessing module (resize 224, normalise, grayscale-&gt;3ch)</t>
  </si>
  <si>
    <t xml:space="preserve">T07</t>
  </si>
  <si>
    <t xml:space="preserve">Stratified 70/15/15 split with fixed seed; save index files</t>
  </si>
  <si>
    <t xml:space="preserve">T08</t>
  </si>
  <si>
    <t xml:space="preserve">Augmentation module (rotation, flip, jitter, zoom, shift, crop)</t>
  </si>
  <si>
    <t xml:space="preserve">T09</t>
  </si>
  <si>
    <t xml:space="preserve">Shared PyTorch DataLoader with class weights for imbalance</t>
  </si>
  <si>
    <t xml:space="preserve">T07,T08</t>
  </si>
  <si>
    <t xml:space="preserve">T10</t>
  </si>
  <si>
    <t xml:space="preserve">Download external RSNA set, DICOM-&gt;PNG convert, map labels</t>
  </si>
  <si>
    <t xml:space="preserve">W1-W2</t>
  </si>
  <si>
    <t xml:space="preserve">T11</t>
  </si>
  <si>
    <t xml:space="preserve">2 Baseline</t>
  </si>
  <si>
    <t xml:space="preserve">Train single baseline (DenseNet121) end-to-end to validate pipeline [GATE M0]</t>
  </si>
  <si>
    <t xml:space="preserve">T20</t>
  </si>
  <si>
    <t xml:space="preserve">2 Train</t>
  </si>
  <si>
    <t xml:space="preserve">Standardise shared training-loop template (frozen-&gt;fine-tune)</t>
  </si>
  <si>
    <t xml:space="preserve">T12</t>
  </si>
  <si>
    <t xml:space="preserve">ResNet50 — Phase 1 frozen training</t>
  </si>
  <si>
    <t xml:space="preserve">W2</t>
  </si>
  <si>
    <t xml:space="preserve">T09,T20</t>
  </si>
  <si>
    <t xml:space="preserve">T13</t>
  </si>
  <si>
    <t xml:space="preserve">ResNet50 — Phase 2 fine-tune + hyperparameter tuning</t>
  </si>
  <si>
    <t xml:space="preserve">T14</t>
  </si>
  <si>
    <t xml:space="preserve">DenseNet121 — Phase 1 frozen training</t>
  </si>
  <si>
    <t xml:space="preserve">T15</t>
  </si>
  <si>
    <t xml:space="preserve">DenseNet121 — Phase 2 fine-tune + tuning</t>
  </si>
  <si>
    <t xml:space="preserve">T16</t>
  </si>
  <si>
    <t xml:space="preserve">EfficientNet-B0 — Phase 1 frozen training</t>
  </si>
  <si>
    <t xml:space="preserve">T17</t>
  </si>
  <si>
    <t xml:space="preserve">EfficientNet-B0 — Phase 2 fine-tune + tuning</t>
  </si>
  <si>
    <t xml:space="preserve">T18</t>
  </si>
  <si>
    <t xml:space="preserve">ViT-Base — Phase 1 frozen training</t>
  </si>
  <si>
    <t xml:space="preserve">T19</t>
  </si>
  <si>
    <t xml:space="preserve">ViT-Base — Phase 2 fine-tune (DeiT/ViT-S fallback if unstable)</t>
  </si>
  <si>
    <t xml:space="preserve">T21</t>
  </si>
  <si>
    <t xml:space="preserve">3 Segment</t>
  </si>
  <si>
    <t xml:space="preserve">Train/adapt U-Net lung-segmentation model</t>
  </si>
  <si>
    <t xml:space="preserve">T22</t>
  </si>
  <si>
    <t xml:space="preserve">Generate lung masks for primary + external sets</t>
  </si>
  <si>
    <t xml:space="preserve">W2-W3</t>
  </si>
  <si>
    <t xml:space="preserve">T23</t>
  </si>
  <si>
    <t xml:space="preserve">4 Calib</t>
  </si>
  <si>
    <t xml:space="preserve">Calibration standard module: ECE, Brier, reliability, temperature scaling [GATE E5]</t>
  </si>
  <si>
    <t xml:space="preserve">T24</t>
  </si>
  <si>
    <t xml:space="preserve">ResNet50 calibration (pre/post temp scaling)</t>
  </si>
  <si>
    <t xml:space="preserve">W3</t>
  </si>
  <si>
    <t xml:space="preserve">T23,T13</t>
  </si>
  <si>
    <t xml:space="preserve">T25</t>
  </si>
  <si>
    <t xml:space="preserve">DenseNet121 calibration</t>
  </si>
  <si>
    <t xml:space="preserve">T23,T15</t>
  </si>
  <si>
    <t xml:space="preserve">T26</t>
  </si>
  <si>
    <t xml:space="preserve">EfficientNet-B0 calibration</t>
  </si>
  <si>
    <t xml:space="preserve">T23,T17</t>
  </si>
  <si>
    <t xml:space="preserve">T27</t>
  </si>
  <si>
    <t xml:space="preserve">ViT-Base calibration</t>
  </si>
  <si>
    <t xml:space="preserve">T23,T19</t>
  </si>
  <si>
    <t xml:space="preserve">T28</t>
  </si>
  <si>
    <t xml:space="preserve">5 XAI</t>
  </si>
  <si>
    <t xml:space="preserve">XAI standard: Grad-CAM (CNN), Attention Rollout (ViT), SHAP + faithfulness/localisation score [GATE E6]</t>
  </si>
  <si>
    <t xml:space="preserve">T29</t>
  </si>
  <si>
    <t xml:space="preserve">ResNet50 explainability + faithfulness score</t>
  </si>
  <si>
    <t xml:space="preserve">T30</t>
  </si>
  <si>
    <t xml:space="preserve">DenseNet121 explainability + faithfulness</t>
  </si>
  <si>
    <t xml:space="preserve">T31</t>
  </si>
  <si>
    <t xml:space="preserve">EfficientNet-B0 explainability + faithfulness</t>
  </si>
  <si>
    <t xml:space="preserve">T32</t>
  </si>
  <si>
    <t xml:space="preserve">ViT-Base attention rollout + faithfulness</t>
  </si>
  <si>
    <t xml:space="preserve">T33</t>
  </si>
  <si>
    <t xml:space="preserve">6 Robust</t>
  </si>
  <si>
    <t xml:space="preserve">External-test protocol standard (label mapping, OOD metrics)</t>
  </si>
  <si>
    <t xml:space="preserve">T34</t>
  </si>
  <si>
    <t xml:space="preserve">ResNet50 external test + explanation-shift analysis</t>
  </si>
  <si>
    <t xml:space="preserve">T33,T13</t>
  </si>
  <si>
    <t xml:space="preserve">T35</t>
  </si>
  <si>
    <t xml:space="preserve">DenseNet121 external test</t>
  </si>
  <si>
    <t xml:space="preserve">T33,T15</t>
  </si>
  <si>
    <t xml:space="preserve">T36</t>
  </si>
  <si>
    <t xml:space="preserve">EfficientNet-B0 external test</t>
  </si>
  <si>
    <t xml:space="preserve">T33,T17</t>
  </si>
  <si>
    <t xml:space="preserve">T37</t>
  </si>
  <si>
    <t xml:space="preserve">ViT-Base external test</t>
  </si>
  <si>
    <t xml:space="preserve">T33,T19</t>
  </si>
  <si>
    <t xml:space="preserve">T38</t>
  </si>
  <si>
    <t xml:space="preserve">Full-image vs lung-segmented experiment (shortcut mitigation)</t>
  </si>
  <si>
    <t xml:space="preserve">T39</t>
  </si>
  <si>
    <t xml:space="preserve">7 Effic</t>
  </si>
  <si>
    <t xml:space="preserve">Efficiency harness: params, FLOPs, latency (CPU/GPU), GPU memory [GATE E8]</t>
  </si>
  <si>
    <t xml:space="preserve">T40</t>
  </si>
  <si>
    <t xml:space="preserve">Run efficiency benchmark on all 4 models</t>
  </si>
  <si>
    <t xml:space="preserve">T39,T13,T15,T17,T19</t>
  </si>
  <si>
    <t xml:space="preserve">T41</t>
  </si>
  <si>
    <t xml:space="preserve">8 Analysis</t>
  </si>
  <si>
    <t xml:space="preserve">Consolidate all metrics into master results tables</t>
  </si>
  <si>
    <t xml:space="preserve">W4</t>
  </si>
  <si>
    <t xml:space="preserve">T24,T29,T34,T40</t>
  </si>
  <si>
    <t xml:space="preserve">T42</t>
  </si>
  <si>
    <t xml:space="preserve">Statistical comparison (significance, confidence intervals)</t>
  </si>
  <si>
    <t xml:space="preserve">T43</t>
  </si>
  <si>
    <t xml:space="preserve">Pareto trade-off analysis (accuracy vs trust vs efficiency)</t>
  </si>
  <si>
    <t xml:space="preserve">T44</t>
  </si>
  <si>
    <t xml:space="preserve">Generate all figures (curves, heatmaps, reliability, Pareto)</t>
  </si>
  <si>
    <t xml:space="preserve">T45</t>
  </si>
  <si>
    <t xml:space="preserve">9 Paper</t>
  </si>
  <si>
    <t xml:space="preserve">Introduction + Related Work + Research Gap</t>
  </si>
  <si>
    <t xml:space="preserve">W1-W4</t>
  </si>
  <si>
    <t xml:space="preserve">T46</t>
  </si>
  <si>
    <t xml:space="preserve">Methodology section</t>
  </si>
  <si>
    <t xml:space="preserve">W2-W4</t>
  </si>
  <si>
    <t xml:space="preserve">T47</t>
  </si>
  <si>
    <t xml:space="preserve">Experiments &amp; Results section</t>
  </si>
  <si>
    <t xml:space="preserve">T48</t>
  </si>
  <si>
    <t xml:space="preserve">Discussion + model-selection guidance</t>
  </si>
  <si>
    <t xml:space="preserve">T49</t>
  </si>
  <si>
    <t xml:space="preserve">Conclusion + Abstract</t>
  </si>
  <si>
    <t xml:space="preserve">T50</t>
  </si>
  <si>
    <t xml:space="preserve">Presentation slides</t>
  </si>
  <si>
    <t xml:space="preserve">T51</t>
  </si>
  <si>
    <t xml:space="preserve">Reference management (Zotero) — ongoing</t>
  </si>
  <si>
    <t xml:space="preserve">T52</t>
  </si>
  <si>
    <t xml:space="preserve">Final proofread + reproducibility rerun from clean repo [GATE M4]</t>
  </si>
  <si>
    <t xml:space="preserve">T47,T48,T49</t>
  </si>
  <si>
    <t xml:space="preserve">TASKS YOU OWN (accountable)</t>
  </si>
  <si>
    <t xml:space="preserve">Deliverable</t>
  </si>
  <si>
    <t xml:space="preserve">Repo + README + branch rules</t>
  </si>
  <si>
    <t xml:space="preserve">Tracking project + seed policy</t>
  </si>
  <si>
    <t xml:space="preserve">ResNet50 frozen checkpoint</t>
  </si>
  <si>
    <t xml:space="preserve">ResNet50 final + curves</t>
  </si>
  <si>
    <t xml:space="preserve">ResNet50 ECE + reliability</t>
  </si>
  <si>
    <t xml:space="preserve">ResNet50 heatmaps + score</t>
  </si>
  <si>
    <t xml:space="preserve">ResNet50 OOD result</t>
  </si>
  <si>
    <t xml:space="preserve">Paper sect. 1-2</t>
  </si>
  <si>
    <t xml:space="preserve">Paper sect. 6 + abstract</t>
  </si>
  <si>
    <t xml:space="preserve">Bibliography</t>
  </si>
  <si>
    <t xml:space="preserve">ALSO SUPPORTING (assist / review)</t>
  </si>
  <si>
    <t xml:space="preserve">Verified dataset + EDA notes</t>
  </si>
  <si>
    <t xml:space="preserve">preprocess.py</t>
  </si>
  <si>
    <t xml:space="preserve">split index files</t>
  </si>
  <si>
    <t xml:space="preserve">augment.py</t>
  </si>
  <si>
    <t xml:space="preserve">dataloader.py (shared)</t>
  </si>
  <si>
    <t xml:space="preserve">Working baseline + confusion matrix</t>
  </si>
  <si>
    <t xml:space="preserve">DenseNet frozen checkpoint</t>
  </si>
  <si>
    <t xml:space="preserve">DenseNet final + curves</t>
  </si>
  <si>
    <t xml:space="preserve">DenseNet ECE + reliability</t>
  </si>
  <si>
    <t xml:space="preserve">DenseNet heatmaps + score</t>
  </si>
  <si>
    <t xml:space="preserve">DenseNet OOD result</t>
  </si>
  <si>
    <t xml:space="preserve">Paper sect. 3</t>
  </si>
  <si>
    <t xml:space="preserve">Reproducible environment</t>
  </si>
  <si>
    <t xml:space="preserve">EffNet frozen checkpoint</t>
  </si>
  <si>
    <t xml:space="preserve">EffNet final + curves</t>
  </si>
  <si>
    <t xml:space="preserve">EffNet ECE + reliability</t>
  </si>
  <si>
    <t xml:space="preserve">EffNet heatmaps + score</t>
  </si>
  <si>
    <t xml:space="preserve">EffNet OOD result</t>
  </si>
  <si>
    <t xml:space="preserve">efficiency.py</t>
  </si>
  <si>
    <t xml:space="preserve">Efficiency table</t>
  </si>
  <si>
    <t xml:space="preserve">Pareto chart + ranking</t>
  </si>
  <si>
    <t xml:space="preserve">Slide deck</t>
  </si>
  <si>
    <t xml:space="preserve">ViT frozen checkpoint</t>
  </si>
  <si>
    <t xml:space="preserve">ViT final + curves</t>
  </si>
  <si>
    <t xml:space="preserve">ViT ECE + reliability</t>
  </si>
  <si>
    <t xml:space="preserve">xai.py + faithfulness metric</t>
  </si>
  <si>
    <t xml:space="preserve">ViT attention maps + score</t>
  </si>
  <si>
    <t xml:space="preserve">ViT OOD result</t>
  </si>
  <si>
    <t xml:space="preserve">Figure pack</t>
  </si>
  <si>
    <t xml:space="preserve">Paper sect. 5</t>
  </si>
  <si>
    <t xml:space="preserve">config.yaml + metrics spec</t>
  </si>
  <si>
    <t xml:space="preserve">External test set ready</t>
  </si>
  <si>
    <t xml:space="preserve">train_template.py</t>
  </si>
  <si>
    <t xml:space="preserve">Segmentation model</t>
  </si>
  <si>
    <t xml:space="preserve">Mask sets</t>
  </si>
  <si>
    <t xml:space="preserve">calibration.py (shared)</t>
  </si>
  <si>
    <t xml:space="preserve">external_eval.py</t>
  </si>
  <si>
    <t xml:space="preserve">Segmentation ablation result</t>
  </si>
  <si>
    <t xml:space="preserve">Master results tables</t>
  </si>
  <si>
    <t xml:space="preserve">Stats appendix</t>
  </si>
  <si>
    <t xml:space="preserve">Paper sect. 4</t>
  </si>
  <si>
    <t xml:space="preserve">Camera-ready + repro log</t>
  </si>
  <si>
    <t xml:space="preserve">STATUS DASHBOARD  (auto from Master Task List)</t>
  </si>
  <si>
    <t xml:space="preserve">Total tasks</t>
  </si>
  <si>
    <t xml:space="preserve">In progress</t>
  </si>
  <si>
    <t xml:space="preserve">Blocked</t>
  </si>
  <si>
    <t xml:space="preserve">Done</t>
  </si>
  <si>
    <t xml:space="preserve">% Complete</t>
  </si>
  <si>
    <t xml:space="preserve">Owned tasks per member</t>
  </si>
  <si>
    <t xml:space="preserve">Member</t>
  </si>
  <si>
    <t xml:space="preserve">Owned tasks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</si>
</sst>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C55A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2E549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b val="true"/>
      <sz val="11"/>
      <color rgb="FF2E5496"/>
      <name val="Arial"/>
      <family val="0"/>
      <charset val="1"/>
    </font>
    <font>
      <sz val="11"/>
      <color rgb="FF333333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1F3864"/>
        <bgColor rgb="FF333333"/>
      </patternFill>
    </fill>
    <fill>
      <patternFill patternType="solid">
        <fgColor rgb="FFEDF2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  <fill>
      <patternFill patternType="solid">
        <fgColor rgb="FFD9E1F2"/>
        <bgColor rgb="FFDCE6F1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CE6F1"/>
      </patternFill>
    </fill>
    <fill>
      <patternFill patternType="solid">
        <fgColor rgb="FFEAD1DC"/>
        <bgColor rgb="FFD9E1F2"/>
      </patternFill>
    </fill>
    <fill>
      <patternFill patternType="solid">
        <fgColor rgb="FFF2F2F2"/>
        <bgColor rgb="FFEDF2FA"/>
      </patternFill>
    </fill>
    <fill>
      <patternFill patternType="solid">
        <fgColor rgb="FFDCE6F1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A"/>
      <rgbColor rgb="FFE2EFDA"/>
      <rgbColor rgb="FFFCE4D6"/>
      <rgbColor rgb="FFDCE6F1"/>
      <rgbColor rgb="FFF2F2F2"/>
      <rgbColor rgb="FFCC99FF"/>
      <rgbColor rgb="FFEAD1DC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3.85" hidden="false" customHeight="false" outlineLevel="0" collapsed="false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customFormat="false" ht="23.85" hidden="false" customHeight="false" outlineLevel="0" collapsed="false">
      <c r="A6" s="6" t="s">
        <v>14</v>
      </c>
      <c r="B6" s="7" t="s">
        <v>15</v>
      </c>
      <c r="C6" s="7" t="s">
        <v>16</v>
      </c>
      <c r="D6" s="7" t="s">
        <v>17</v>
      </c>
      <c r="E6" s="7" t="s">
        <v>18</v>
      </c>
      <c r="F6" s="7" t="s">
        <v>19</v>
      </c>
    </row>
    <row r="7" customFormat="false" ht="23.85" hidden="false" customHeight="false" outlineLevel="0" collapsed="false">
      <c r="A7" s="4" t="s">
        <v>20</v>
      </c>
      <c r="B7" s="5" t="s">
        <v>21</v>
      </c>
      <c r="C7" s="5" t="s">
        <v>22</v>
      </c>
      <c r="D7" s="5" t="s">
        <v>23</v>
      </c>
      <c r="E7" s="5" t="s">
        <v>24</v>
      </c>
      <c r="F7" s="5" t="s">
        <v>25</v>
      </c>
    </row>
    <row r="8" customFormat="false" ht="35.05" hidden="false" customHeight="false" outlineLevel="0" collapsed="false">
      <c r="A8" s="6" t="s">
        <v>26</v>
      </c>
      <c r="B8" s="7" t="s">
        <v>27</v>
      </c>
      <c r="C8" s="7" t="s">
        <v>28</v>
      </c>
      <c r="D8" s="7" t="s">
        <v>29</v>
      </c>
      <c r="E8" s="7" t="s">
        <v>30</v>
      </c>
      <c r="F8" s="7" t="s">
        <v>31</v>
      </c>
    </row>
    <row r="9" customFormat="false" ht="23.85" hidden="false" customHeight="false" outlineLevel="0" collapsed="false">
      <c r="A9" s="4" t="s">
        <v>32</v>
      </c>
      <c r="B9" s="5" t="s">
        <v>33</v>
      </c>
      <c r="C9" s="5" t="s">
        <v>34</v>
      </c>
      <c r="D9" s="5" t="s">
        <v>35</v>
      </c>
      <c r="E9" s="5" t="s">
        <v>36</v>
      </c>
      <c r="F9" s="5" t="s">
        <v>37</v>
      </c>
    </row>
    <row r="12" customFormat="false" ht="15" hidden="false" customHeight="false" outlineLevel="0" collapsed="false">
      <c r="A12" s="8" t="s">
        <v>38</v>
      </c>
    </row>
    <row r="13" customFormat="false" ht="15" hidden="false" customHeight="true" outlineLevel="0" collapsed="false">
      <c r="A13" s="9" t="s">
        <v>39</v>
      </c>
      <c r="B13" s="10" t="s">
        <v>40</v>
      </c>
      <c r="C13" s="10"/>
      <c r="D13" s="10"/>
      <c r="E13" s="10"/>
      <c r="F13" s="10"/>
    </row>
    <row r="14" customFormat="false" ht="15" hidden="false" customHeight="true" outlineLevel="0" collapsed="false">
      <c r="A14" s="9" t="s">
        <v>41</v>
      </c>
      <c r="B14" s="10" t="s">
        <v>42</v>
      </c>
      <c r="C14" s="10"/>
      <c r="D14" s="10"/>
      <c r="E14" s="10"/>
      <c r="F14" s="10"/>
    </row>
    <row r="15" customFormat="false" ht="15" hidden="false" customHeight="true" outlineLevel="0" collapsed="false">
      <c r="A15" s="9" t="s">
        <v>43</v>
      </c>
      <c r="B15" s="10" t="s">
        <v>44</v>
      </c>
      <c r="C15" s="10"/>
      <c r="D15" s="10"/>
      <c r="E15" s="10"/>
      <c r="F15" s="10"/>
    </row>
    <row r="16" customFormat="false" ht="15" hidden="false" customHeight="true" outlineLevel="0" collapsed="false">
      <c r="A16" s="9" t="s">
        <v>45</v>
      </c>
      <c r="B16" s="10" t="s">
        <v>46</v>
      </c>
      <c r="C16" s="10"/>
      <c r="D16" s="10"/>
      <c r="E16" s="10"/>
      <c r="F16" s="10"/>
    </row>
    <row r="17" customFormat="false" ht="15" hidden="false" customHeight="true" outlineLevel="0" collapsed="false">
      <c r="A17" s="9" t="s">
        <v>47</v>
      </c>
      <c r="B17" s="10" t="s">
        <v>48</v>
      </c>
      <c r="C17" s="10"/>
      <c r="D17" s="10"/>
      <c r="E17" s="10"/>
      <c r="F17" s="10"/>
    </row>
    <row r="18" customFormat="false" ht="15" hidden="false" customHeight="true" outlineLevel="0" collapsed="false">
      <c r="A18" s="9" t="s">
        <v>49</v>
      </c>
      <c r="B18" s="10" t="s">
        <v>50</v>
      </c>
      <c r="C18" s="10"/>
      <c r="D18" s="10"/>
      <c r="E18" s="10"/>
      <c r="F18" s="10"/>
    </row>
  </sheetData>
  <mergeCells count="8">
    <mergeCell ref="A1:F1"/>
    <mergeCell ref="A2:F2"/>
    <mergeCell ref="B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64"/>
    <col collapsed="false" customWidth="true" hidden="false" outlineLevel="0" max="5" min="5" style="0" width="16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</row>
    <row r="3" customFormat="false" ht="15" hidden="false" customHeight="false" outlineLevel="0" collapsed="false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</row>
    <row r="4" customFormat="false" ht="54" hidden="false" customHeight="true" outlineLevel="0" collapsed="false">
      <c r="A4" s="11" t="s">
        <v>57</v>
      </c>
      <c r="B4" s="5" t="s">
        <v>58</v>
      </c>
      <c r="C4" s="5" t="s">
        <v>59</v>
      </c>
      <c r="D4" s="5" t="s">
        <v>60</v>
      </c>
      <c r="E4" s="5" t="s">
        <v>61</v>
      </c>
    </row>
    <row r="5" customFormat="false" ht="54" hidden="false" customHeight="true" outlineLevel="0" collapsed="false">
      <c r="A5" s="11" t="s">
        <v>8</v>
      </c>
      <c r="B5" s="7" t="s">
        <v>62</v>
      </c>
      <c r="C5" s="7" t="s">
        <v>63</v>
      </c>
      <c r="D5" s="7" t="s">
        <v>64</v>
      </c>
      <c r="E5" s="7" t="s">
        <v>65</v>
      </c>
    </row>
    <row r="6" customFormat="false" ht="54" hidden="false" customHeight="true" outlineLevel="0" collapsed="false">
      <c r="A6" s="11" t="s">
        <v>14</v>
      </c>
      <c r="B6" s="5" t="s">
        <v>66</v>
      </c>
      <c r="C6" s="5" t="s">
        <v>67</v>
      </c>
      <c r="D6" s="5" t="s">
        <v>68</v>
      </c>
      <c r="E6" s="5" t="s">
        <v>69</v>
      </c>
    </row>
    <row r="7" customFormat="false" ht="54" hidden="false" customHeight="true" outlineLevel="0" collapsed="false">
      <c r="A7" s="11" t="s">
        <v>20</v>
      </c>
      <c r="B7" s="7" t="s">
        <v>70</v>
      </c>
      <c r="C7" s="7" t="s">
        <v>71</v>
      </c>
      <c r="D7" s="7" t="s">
        <v>72</v>
      </c>
      <c r="E7" s="7" t="s">
        <v>73</v>
      </c>
    </row>
    <row r="8" customFormat="false" ht="54" hidden="false" customHeight="true" outlineLevel="0" collapsed="false">
      <c r="A8" s="11" t="s">
        <v>26</v>
      </c>
      <c r="B8" s="5" t="s">
        <v>74</v>
      </c>
      <c r="C8" s="5" t="s">
        <v>75</v>
      </c>
      <c r="D8" s="5" t="s">
        <v>76</v>
      </c>
      <c r="E8" s="5" t="s">
        <v>77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4" min="4" style="0" width="8"/>
    <col collapsed="false" customWidth="true" hidden="false" outlineLevel="0" max="7" min="5" style="0" width="9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22"/>
  </cols>
  <sheetData>
    <row r="1" customFormat="false" ht="25.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customFormat="false" ht="23.85" hidden="false" customHeight="false" outlineLevel="0" collapsed="false">
      <c r="A3" s="3" t="s">
        <v>79</v>
      </c>
      <c r="B3" s="3" t="s">
        <v>80</v>
      </c>
      <c r="C3" s="3" t="s">
        <v>81</v>
      </c>
      <c r="D3" s="3" t="s">
        <v>45</v>
      </c>
      <c r="E3" s="3" t="s">
        <v>82</v>
      </c>
      <c r="F3" s="3" t="s">
        <v>47</v>
      </c>
      <c r="G3" s="3" t="s">
        <v>83</v>
      </c>
      <c r="H3" s="3" t="s">
        <v>84</v>
      </c>
      <c r="I3" s="3" t="s">
        <v>85</v>
      </c>
      <c r="J3" s="3" t="s">
        <v>86</v>
      </c>
      <c r="K3" s="3" t="s">
        <v>87</v>
      </c>
    </row>
    <row r="4" customFormat="false" ht="30" hidden="false" customHeight="true" outlineLevel="0" collapsed="false">
      <c r="A4" s="12" t="s">
        <v>88</v>
      </c>
      <c r="B4" s="13" t="s">
        <v>89</v>
      </c>
      <c r="C4" s="13" t="s">
        <v>90</v>
      </c>
      <c r="D4" s="14" t="s">
        <v>8</v>
      </c>
      <c r="E4" s="15" t="s">
        <v>91</v>
      </c>
      <c r="F4" s="15" t="s">
        <v>92</v>
      </c>
      <c r="G4" s="15" t="s">
        <v>57</v>
      </c>
      <c r="H4" s="13" t="s">
        <v>93</v>
      </c>
      <c r="I4" s="15" t="n">
        <v>1</v>
      </c>
      <c r="J4" s="13" t="s">
        <v>94</v>
      </c>
      <c r="K4" s="13"/>
    </row>
    <row r="5" customFormat="false" ht="30" hidden="false" customHeight="true" outlineLevel="0" collapsed="false">
      <c r="A5" s="12" t="s">
        <v>95</v>
      </c>
      <c r="B5" s="13" t="s">
        <v>89</v>
      </c>
      <c r="C5" s="13" t="s">
        <v>96</v>
      </c>
      <c r="D5" s="14" t="s">
        <v>8</v>
      </c>
      <c r="E5" s="15" t="s">
        <v>32</v>
      </c>
      <c r="F5" s="15" t="s">
        <v>92</v>
      </c>
      <c r="G5" s="15" t="s">
        <v>57</v>
      </c>
      <c r="H5" s="13" t="s">
        <v>88</v>
      </c>
      <c r="I5" s="15" t="n">
        <v>1</v>
      </c>
      <c r="J5" s="13" t="s">
        <v>94</v>
      </c>
      <c r="K5" s="13"/>
    </row>
    <row r="6" customFormat="false" ht="30" hidden="false" customHeight="true" outlineLevel="0" collapsed="false">
      <c r="A6" s="12" t="s">
        <v>97</v>
      </c>
      <c r="B6" s="13" t="s">
        <v>89</v>
      </c>
      <c r="C6" s="13" t="s">
        <v>98</v>
      </c>
      <c r="D6" s="14" t="s">
        <v>20</v>
      </c>
      <c r="E6" s="15" t="s">
        <v>14</v>
      </c>
      <c r="F6" s="15" t="s">
        <v>92</v>
      </c>
      <c r="G6" s="15" t="s">
        <v>57</v>
      </c>
      <c r="H6" s="13" t="s">
        <v>88</v>
      </c>
      <c r="I6" s="15" t="n">
        <v>1</v>
      </c>
      <c r="J6" s="13" t="s">
        <v>94</v>
      </c>
      <c r="K6" s="13"/>
    </row>
    <row r="7" customFormat="false" ht="30" hidden="false" customHeight="true" outlineLevel="0" collapsed="false">
      <c r="A7" s="12" t="s">
        <v>99</v>
      </c>
      <c r="B7" s="13" t="s">
        <v>89</v>
      </c>
      <c r="C7" s="13" t="s">
        <v>100</v>
      </c>
      <c r="D7" s="14" t="s">
        <v>32</v>
      </c>
      <c r="E7" s="15" t="s">
        <v>91</v>
      </c>
      <c r="F7" s="15" t="s">
        <v>92</v>
      </c>
      <c r="G7" s="15" t="s">
        <v>57</v>
      </c>
      <c r="H7" s="13" t="s">
        <v>88</v>
      </c>
      <c r="I7" s="15" t="n">
        <v>1</v>
      </c>
      <c r="J7" s="13" t="s">
        <v>94</v>
      </c>
      <c r="K7" s="13"/>
    </row>
    <row r="8" customFormat="false" ht="30" hidden="false" customHeight="true" outlineLevel="0" collapsed="false">
      <c r="A8" s="16" t="s">
        <v>101</v>
      </c>
      <c r="B8" s="17" t="s">
        <v>102</v>
      </c>
      <c r="C8" s="17" t="s">
        <v>103</v>
      </c>
      <c r="D8" s="18" t="s">
        <v>14</v>
      </c>
      <c r="E8" s="19" t="s">
        <v>8</v>
      </c>
      <c r="F8" s="19" t="s">
        <v>92</v>
      </c>
      <c r="G8" s="19" t="s">
        <v>57</v>
      </c>
      <c r="H8" s="17" t="s">
        <v>93</v>
      </c>
      <c r="I8" s="19" t="n">
        <v>1</v>
      </c>
      <c r="J8" s="17" t="s">
        <v>94</v>
      </c>
      <c r="K8" s="17"/>
    </row>
    <row r="9" customFormat="false" ht="30" hidden="false" customHeight="true" outlineLevel="0" collapsed="false">
      <c r="A9" s="16" t="s">
        <v>104</v>
      </c>
      <c r="B9" s="17" t="s">
        <v>102</v>
      </c>
      <c r="C9" s="17" t="s">
        <v>105</v>
      </c>
      <c r="D9" s="18" t="s">
        <v>14</v>
      </c>
      <c r="E9" s="19" t="s">
        <v>20</v>
      </c>
      <c r="F9" s="19" t="s">
        <v>92</v>
      </c>
      <c r="G9" s="19" t="s">
        <v>57</v>
      </c>
      <c r="H9" s="17" t="s">
        <v>99</v>
      </c>
      <c r="I9" s="19" t="n">
        <v>1</v>
      </c>
      <c r="J9" s="17" t="s">
        <v>94</v>
      </c>
      <c r="K9" s="17"/>
    </row>
    <row r="10" customFormat="false" ht="30" hidden="false" customHeight="true" outlineLevel="0" collapsed="false">
      <c r="A10" s="16" t="s">
        <v>106</v>
      </c>
      <c r="B10" s="17" t="s">
        <v>102</v>
      </c>
      <c r="C10" s="17" t="s">
        <v>107</v>
      </c>
      <c r="D10" s="18" t="s">
        <v>14</v>
      </c>
      <c r="E10" s="19" t="s">
        <v>32</v>
      </c>
      <c r="F10" s="19" t="s">
        <v>92</v>
      </c>
      <c r="G10" s="19" t="s">
        <v>57</v>
      </c>
      <c r="H10" s="17" t="s">
        <v>104</v>
      </c>
      <c r="I10" s="19" t="n">
        <v>1</v>
      </c>
      <c r="J10" s="17" t="s">
        <v>94</v>
      </c>
      <c r="K10" s="17"/>
    </row>
    <row r="11" customFormat="false" ht="30" hidden="false" customHeight="true" outlineLevel="0" collapsed="false">
      <c r="A11" s="16" t="s">
        <v>108</v>
      </c>
      <c r="B11" s="17" t="s">
        <v>102</v>
      </c>
      <c r="C11" s="17" t="s">
        <v>109</v>
      </c>
      <c r="D11" s="18" t="s">
        <v>14</v>
      </c>
      <c r="E11" s="19" t="s">
        <v>26</v>
      </c>
      <c r="F11" s="19" t="s">
        <v>92</v>
      </c>
      <c r="G11" s="19" t="s">
        <v>57</v>
      </c>
      <c r="H11" s="17" t="s">
        <v>104</v>
      </c>
      <c r="I11" s="19" t="n">
        <v>1</v>
      </c>
      <c r="J11" s="17" t="s">
        <v>94</v>
      </c>
      <c r="K11" s="17"/>
    </row>
    <row r="12" customFormat="false" ht="30" hidden="false" customHeight="true" outlineLevel="0" collapsed="false">
      <c r="A12" s="16" t="s">
        <v>110</v>
      </c>
      <c r="B12" s="17" t="s">
        <v>102</v>
      </c>
      <c r="C12" s="17" t="s">
        <v>111</v>
      </c>
      <c r="D12" s="18" t="s">
        <v>14</v>
      </c>
      <c r="E12" s="19" t="s">
        <v>8</v>
      </c>
      <c r="F12" s="19" t="s">
        <v>92</v>
      </c>
      <c r="G12" s="19" t="s">
        <v>57</v>
      </c>
      <c r="H12" s="17" t="s">
        <v>112</v>
      </c>
      <c r="I12" s="19" t="n">
        <v>1</v>
      </c>
      <c r="J12" s="17" t="s">
        <v>94</v>
      </c>
      <c r="K12" s="17"/>
    </row>
    <row r="13" customFormat="false" ht="30" hidden="false" customHeight="true" outlineLevel="0" collapsed="false">
      <c r="A13" s="16" t="s">
        <v>113</v>
      </c>
      <c r="B13" s="17" t="s">
        <v>102</v>
      </c>
      <c r="C13" s="17" t="s">
        <v>114</v>
      </c>
      <c r="D13" s="18" t="s">
        <v>32</v>
      </c>
      <c r="E13" s="19" t="s">
        <v>14</v>
      </c>
      <c r="F13" s="19" t="s">
        <v>115</v>
      </c>
      <c r="G13" s="19" t="s">
        <v>8</v>
      </c>
      <c r="H13" s="17" t="s">
        <v>104</v>
      </c>
      <c r="I13" s="19" t="n">
        <v>2</v>
      </c>
      <c r="J13" s="17" t="s">
        <v>94</v>
      </c>
      <c r="K13" s="17"/>
    </row>
    <row r="14" customFormat="false" ht="30" hidden="false" customHeight="true" outlineLevel="0" collapsed="false">
      <c r="A14" s="20" t="s">
        <v>116</v>
      </c>
      <c r="B14" s="21" t="s">
        <v>117</v>
      </c>
      <c r="C14" s="22" t="s">
        <v>118</v>
      </c>
      <c r="D14" s="23" t="s">
        <v>14</v>
      </c>
      <c r="E14" s="24" t="s">
        <v>91</v>
      </c>
      <c r="F14" s="24" t="s">
        <v>92</v>
      </c>
      <c r="G14" s="24" t="s">
        <v>57</v>
      </c>
      <c r="H14" s="21" t="s">
        <v>110</v>
      </c>
      <c r="I14" s="24" t="n">
        <v>2</v>
      </c>
      <c r="J14" s="21" t="s">
        <v>94</v>
      </c>
      <c r="K14" s="21"/>
    </row>
    <row r="15" customFormat="false" ht="30" hidden="false" customHeight="true" outlineLevel="0" collapsed="false">
      <c r="A15" s="20" t="s">
        <v>119</v>
      </c>
      <c r="B15" s="21" t="s">
        <v>120</v>
      </c>
      <c r="C15" s="21" t="s">
        <v>121</v>
      </c>
      <c r="D15" s="23" t="s">
        <v>32</v>
      </c>
      <c r="E15" s="24" t="s">
        <v>14</v>
      </c>
      <c r="F15" s="24" t="s">
        <v>115</v>
      </c>
      <c r="G15" s="24" t="s">
        <v>57</v>
      </c>
      <c r="H15" s="21" t="s">
        <v>110</v>
      </c>
      <c r="I15" s="24" t="n">
        <v>1</v>
      </c>
      <c r="J15" s="21" t="s">
        <v>94</v>
      </c>
      <c r="K15" s="21"/>
    </row>
    <row r="16" customFormat="false" ht="30" hidden="false" customHeight="true" outlineLevel="0" collapsed="false">
      <c r="A16" s="20" t="s">
        <v>122</v>
      </c>
      <c r="B16" s="21" t="s">
        <v>120</v>
      </c>
      <c r="C16" s="21" t="s">
        <v>123</v>
      </c>
      <c r="D16" s="23" t="s">
        <v>8</v>
      </c>
      <c r="E16" s="24" t="s">
        <v>93</v>
      </c>
      <c r="F16" s="24" t="s">
        <v>124</v>
      </c>
      <c r="G16" s="24" t="s">
        <v>8</v>
      </c>
      <c r="H16" s="21" t="s">
        <v>125</v>
      </c>
      <c r="I16" s="24" t="n">
        <v>1</v>
      </c>
      <c r="J16" s="21" t="s">
        <v>94</v>
      </c>
      <c r="K16" s="21"/>
    </row>
    <row r="17" customFormat="false" ht="30" hidden="false" customHeight="true" outlineLevel="0" collapsed="false">
      <c r="A17" s="20" t="s">
        <v>126</v>
      </c>
      <c r="B17" s="21" t="s">
        <v>120</v>
      </c>
      <c r="C17" s="21" t="s">
        <v>127</v>
      </c>
      <c r="D17" s="23" t="s">
        <v>8</v>
      </c>
      <c r="E17" s="24" t="s">
        <v>93</v>
      </c>
      <c r="F17" s="24" t="s">
        <v>124</v>
      </c>
      <c r="G17" s="24" t="s">
        <v>8</v>
      </c>
      <c r="H17" s="21" t="s">
        <v>122</v>
      </c>
      <c r="I17" s="24" t="n">
        <v>2</v>
      </c>
      <c r="J17" s="21" t="s">
        <v>94</v>
      </c>
      <c r="K17" s="21"/>
    </row>
    <row r="18" customFormat="false" ht="30" hidden="false" customHeight="true" outlineLevel="0" collapsed="false">
      <c r="A18" s="20" t="s">
        <v>128</v>
      </c>
      <c r="B18" s="21" t="s">
        <v>120</v>
      </c>
      <c r="C18" s="21" t="s">
        <v>129</v>
      </c>
      <c r="D18" s="23" t="s">
        <v>14</v>
      </c>
      <c r="E18" s="24" t="s">
        <v>93</v>
      </c>
      <c r="F18" s="24" t="s">
        <v>124</v>
      </c>
      <c r="G18" s="24" t="s">
        <v>8</v>
      </c>
      <c r="H18" s="21" t="s">
        <v>125</v>
      </c>
      <c r="I18" s="24" t="n">
        <v>1</v>
      </c>
      <c r="J18" s="21" t="s">
        <v>94</v>
      </c>
      <c r="K18" s="21"/>
    </row>
    <row r="19" customFormat="false" ht="30" hidden="false" customHeight="true" outlineLevel="0" collapsed="false">
      <c r="A19" s="20" t="s">
        <v>130</v>
      </c>
      <c r="B19" s="21" t="s">
        <v>120</v>
      </c>
      <c r="C19" s="21" t="s">
        <v>131</v>
      </c>
      <c r="D19" s="23" t="s">
        <v>14</v>
      </c>
      <c r="E19" s="24" t="s">
        <v>93</v>
      </c>
      <c r="F19" s="24" t="s">
        <v>124</v>
      </c>
      <c r="G19" s="24" t="s">
        <v>8</v>
      </c>
      <c r="H19" s="21" t="s">
        <v>128</v>
      </c>
      <c r="I19" s="24" t="n">
        <v>2</v>
      </c>
      <c r="J19" s="21" t="s">
        <v>94</v>
      </c>
      <c r="K19" s="21"/>
    </row>
    <row r="20" customFormat="false" ht="30" hidden="false" customHeight="true" outlineLevel="0" collapsed="false">
      <c r="A20" s="20" t="s">
        <v>132</v>
      </c>
      <c r="B20" s="21" t="s">
        <v>120</v>
      </c>
      <c r="C20" s="21" t="s">
        <v>133</v>
      </c>
      <c r="D20" s="23" t="s">
        <v>20</v>
      </c>
      <c r="E20" s="24" t="s">
        <v>93</v>
      </c>
      <c r="F20" s="24" t="s">
        <v>124</v>
      </c>
      <c r="G20" s="24" t="s">
        <v>8</v>
      </c>
      <c r="H20" s="21" t="s">
        <v>125</v>
      </c>
      <c r="I20" s="24" t="n">
        <v>1</v>
      </c>
      <c r="J20" s="21" t="s">
        <v>94</v>
      </c>
      <c r="K20" s="21"/>
    </row>
    <row r="21" customFormat="false" ht="30" hidden="false" customHeight="true" outlineLevel="0" collapsed="false">
      <c r="A21" s="20" t="s">
        <v>134</v>
      </c>
      <c r="B21" s="21" t="s">
        <v>120</v>
      </c>
      <c r="C21" s="21" t="s">
        <v>135</v>
      </c>
      <c r="D21" s="23" t="s">
        <v>20</v>
      </c>
      <c r="E21" s="24" t="s">
        <v>93</v>
      </c>
      <c r="F21" s="24" t="s">
        <v>124</v>
      </c>
      <c r="G21" s="24" t="s">
        <v>8</v>
      </c>
      <c r="H21" s="21" t="s">
        <v>132</v>
      </c>
      <c r="I21" s="24" t="n">
        <v>2</v>
      </c>
      <c r="J21" s="21" t="s">
        <v>94</v>
      </c>
      <c r="K21" s="21"/>
    </row>
    <row r="22" customFormat="false" ht="30" hidden="false" customHeight="true" outlineLevel="0" collapsed="false">
      <c r="A22" s="20" t="s">
        <v>136</v>
      </c>
      <c r="B22" s="21" t="s">
        <v>120</v>
      </c>
      <c r="C22" s="21" t="s">
        <v>137</v>
      </c>
      <c r="D22" s="23" t="s">
        <v>26</v>
      </c>
      <c r="E22" s="24" t="s">
        <v>93</v>
      </c>
      <c r="F22" s="24" t="s">
        <v>124</v>
      </c>
      <c r="G22" s="24" t="s">
        <v>8</v>
      </c>
      <c r="H22" s="21" t="s">
        <v>125</v>
      </c>
      <c r="I22" s="24" t="n">
        <v>1</v>
      </c>
      <c r="J22" s="21" t="s">
        <v>94</v>
      </c>
      <c r="K22" s="21"/>
    </row>
    <row r="23" customFormat="false" ht="30" hidden="false" customHeight="true" outlineLevel="0" collapsed="false">
      <c r="A23" s="20" t="s">
        <v>138</v>
      </c>
      <c r="B23" s="21" t="s">
        <v>120</v>
      </c>
      <c r="C23" s="21" t="s">
        <v>139</v>
      </c>
      <c r="D23" s="23" t="s">
        <v>26</v>
      </c>
      <c r="E23" s="24" t="s">
        <v>93</v>
      </c>
      <c r="F23" s="24" t="s">
        <v>124</v>
      </c>
      <c r="G23" s="24" t="s">
        <v>8</v>
      </c>
      <c r="H23" s="21" t="s">
        <v>136</v>
      </c>
      <c r="I23" s="24" t="n">
        <v>2</v>
      </c>
      <c r="J23" s="21" t="s">
        <v>94</v>
      </c>
      <c r="K23" s="21"/>
    </row>
    <row r="24" customFormat="false" ht="30" hidden="false" customHeight="true" outlineLevel="0" collapsed="false">
      <c r="A24" s="25" t="s">
        <v>140</v>
      </c>
      <c r="B24" s="26" t="s">
        <v>141</v>
      </c>
      <c r="C24" s="26" t="s">
        <v>142</v>
      </c>
      <c r="D24" s="27" t="s">
        <v>32</v>
      </c>
      <c r="E24" s="28" t="s">
        <v>14</v>
      </c>
      <c r="F24" s="28" t="s">
        <v>124</v>
      </c>
      <c r="G24" s="28" t="s">
        <v>8</v>
      </c>
      <c r="H24" s="26" t="s">
        <v>104</v>
      </c>
      <c r="I24" s="28" t="n">
        <v>2</v>
      </c>
      <c r="J24" s="26" t="s">
        <v>94</v>
      </c>
      <c r="K24" s="26"/>
    </row>
    <row r="25" customFormat="false" ht="30" hidden="false" customHeight="true" outlineLevel="0" collapsed="false">
      <c r="A25" s="25" t="s">
        <v>143</v>
      </c>
      <c r="B25" s="26" t="s">
        <v>141</v>
      </c>
      <c r="C25" s="26" t="s">
        <v>144</v>
      </c>
      <c r="D25" s="27" t="s">
        <v>32</v>
      </c>
      <c r="E25" s="28" t="s">
        <v>14</v>
      </c>
      <c r="F25" s="28" t="s">
        <v>145</v>
      </c>
      <c r="G25" s="28" t="s">
        <v>8</v>
      </c>
      <c r="H25" s="26" t="s">
        <v>140</v>
      </c>
      <c r="I25" s="28" t="n">
        <v>1</v>
      </c>
      <c r="J25" s="26" t="s">
        <v>94</v>
      </c>
      <c r="K25" s="26"/>
    </row>
    <row r="26" customFormat="false" ht="30" hidden="false" customHeight="true" outlineLevel="0" collapsed="false">
      <c r="A26" s="29" t="s">
        <v>146</v>
      </c>
      <c r="B26" s="30" t="s">
        <v>147</v>
      </c>
      <c r="C26" s="31" t="s">
        <v>148</v>
      </c>
      <c r="D26" s="32" t="s">
        <v>32</v>
      </c>
      <c r="E26" s="33" t="s">
        <v>14</v>
      </c>
      <c r="F26" s="33" t="s">
        <v>145</v>
      </c>
      <c r="G26" s="33" t="s">
        <v>14</v>
      </c>
      <c r="H26" s="30" t="s">
        <v>93</v>
      </c>
      <c r="I26" s="33" t="n">
        <v>1</v>
      </c>
      <c r="J26" s="30" t="s">
        <v>94</v>
      </c>
      <c r="K26" s="30"/>
    </row>
    <row r="27" customFormat="false" ht="30" hidden="false" customHeight="true" outlineLevel="0" collapsed="false">
      <c r="A27" s="29" t="s">
        <v>149</v>
      </c>
      <c r="B27" s="30" t="s">
        <v>147</v>
      </c>
      <c r="C27" s="30" t="s">
        <v>150</v>
      </c>
      <c r="D27" s="32" t="s">
        <v>8</v>
      </c>
      <c r="E27" s="33" t="s">
        <v>32</v>
      </c>
      <c r="F27" s="33" t="s">
        <v>151</v>
      </c>
      <c r="G27" s="33" t="s">
        <v>14</v>
      </c>
      <c r="H27" s="30" t="s">
        <v>152</v>
      </c>
      <c r="I27" s="33" t="n">
        <v>1</v>
      </c>
      <c r="J27" s="30" t="s">
        <v>94</v>
      </c>
      <c r="K27" s="30"/>
    </row>
    <row r="28" customFormat="false" ht="30" hidden="false" customHeight="true" outlineLevel="0" collapsed="false">
      <c r="A28" s="29" t="s">
        <v>153</v>
      </c>
      <c r="B28" s="30" t="s">
        <v>147</v>
      </c>
      <c r="C28" s="30" t="s">
        <v>154</v>
      </c>
      <c r="D28" s="32" t="s">
        <v>14</v>
      </c>
      <c r="E28" s="33" t="s">
        <v>32</v>
      </c>
      <c r="F28" s="33" t="s">
        <v>151</v>
      </c>
      <c r="G28" s="33" t="s">
        <v>14</v>
      </c>
      <c r="H28" s="30" t="s">
        <v>155</v>
      </c>
      <c r="I28" s="33" t="n">
        <v>1</v>
      </c>
      <c r="J28" s="30" t="s">
        <v>94</v>
      </c>
      <c r="K28" s="30"/>
    </row>
    <row r="29" customFormat="false" ht="30" hidden="false" customHeight="true" outlineLevel="0" collapsed="false">
      <c r="A29" s="29" t="s">
        <v>156</v>
      </c>
      <c r="B29" s="30" t="s">
        <v>147</v>
      </c>
      <c r="C29" s="30" t="s">
        <v>157</v>
      </c>
      <c r="D29" s="32" t="s">
        <v>20</v>
      </c>
      <c r="E29" s="33" t="s">
        <v>32</v>
      </c>
      <c r="F29" s="33" t="s">
        <v>151</v>
      </c>
      <c r="G29" s="33" t="s">
        <v>14</v>
      </c>
      <c r="H29" s="30" t="s">
        <v>158</v>
      </c>
      <c r="I29" s="33" t="n">
        <v>1</v>
      </c>
      <c r="J29" s="30" t="s">
        <v>94</v>
      </c>
      <c r="K29" s="30"/>
    </row>
    <row r="30" customFormat="false" ht="30" hidden="false" customHeight="true" outlineLevel="0" collapsed="false">
      <c r="A30" s="29" t="s">
        <v>159</v>
      </c>
      <c r="B30" s="30" t="s">
        <v>147</v>
      </c>
      <c r="C30" s="30" t="s">
        <v>160</v>
      </c>
      <c r="D30" s="32" t="s">
        <v>26</v>
      </c>
      <c r="E30" s="33" t="s">
        <v>32</v>
      </c>
      <c r="F30" s="33" t="s">
        <v>151</v>
      </c>
      <c r="G30" s="33" t="s">
        <v>14</v>
      </c>
      <c r="H30" s="30" t="s">
        <v>161</v>
      </c>
      <c r="I30" s="33" t="n">
        <v>1</v>
      </c>
      <c r="J30" s="30" t="s">
        <v>94</v>
      </c>
      <c r="K30" s="30"/>
    </row>
    <row r="31" customFormat="false" ht="30" hidden="false" customHeight="true" outlineLevel="0" collapsed="false">
      <c r="A31" s="34" t="s">
        <v>162</v>
      </c>
      <c r="B31" s="35" t="s">
        <v>163</v>
      </c>
      <c r="C31" s="36" t="s">
        <v>164</v>
      </c>
      <c r="D31" s="37" t="s">
        <v>26</v>
      </c>
      <c r="E31" s="38" t="s">
        <v>20</v>
      </c>
      <c r="F31" s="38" t="s">
        <v>145</v>
      </c>
      <c r="G31" s="38" t="s">
        <v>14</v>
      </c>
      <c r="H31" s="35" t="s">
        <v>143</v>
      </c>
      <c r="I31" s="38" t="n">
        <v>2</v>
      </c>
      <c r="J31" s="35" t="s">
        <v>94</v>
      </c>
      <c r="K31" s="35"/>
    </row>
    <row r="32" customFormat="false" ht="30" hidden="false" customHeight="true" outlineLevel="0" collapsed="false">
      <c r="A32" s="34" t="s">
        <v>165</v>
      </c>
      <c r="B32" s="35" t="s">
        <v>163</v>
      </c>
      <c r="C32" s="35" t="s">
        <v>166</v>
      </c>
      <c r="D32" s="37" t="s">
        <v>8</v>
      </c>
      <c r="E32" s="38" t="s">
        <v>26</v>
      </c>
      <c r="F32" s="38" t="s">
        <v>151</v>
      </c>
      <c r="G32" s="38" t="s">
        <v>14</v>
      </c>
      <c r="H32" s="35" t="s">
        <v>162</v>
      </c>
      <c r="I32" s="38" t="n">
        <v>1</v>
      </c>
      <c r="J32" s="35" t="s">
        <v>94</v>
      </c>
      <c r="K32" s="35"/>
    </row>
    <row r="33" customFormat="false" ht="30" hidden="false" customHeight="true" outlineLevel="0" collapsed="false">
      <c r="A33" s="34" t="s">
        <v>167</v>
      </c>
      <c r="B33" s="35" t="s">
        <v>163</v>
      </c>
      <c r="C33" s="35" t="s">
        <v>168</v>
      </c>
      <c r="D33" s="37" t="s">
        <v>14</v>
      </c>
      <c r="E33" s="38" t="s">
        <v>26</v>
      </c>
      <c r="F33" s="38" t="s">
        <v>151</v>
      </c>
      <c r="G33" s="38" t="s">
        <v>14</v>
      </c>
      <c r="H33" s="35" t="s">
        <v>162</v>
      </c>
      <c r="I33" s="38" t="n">
        <v>1</v>
      </c>
      <c r="J33" s="35" t="s">
        <v>94</v>
      </c>
      <c r="K33" s="35"/>
    </row>
    <row r="34" customFormat="false" ht="30" hidden="false" customHeight="true" outlineLevel="0" collapsed="false">
      <c r="A34" s="34" t="s">
        <v>169</v>
      </c>
      <c r="B34" s="35" t="s">
        <v>163</v>
      </c>
      <c r="C34" s="35" t="s">
        <v>170</v>
      </c>
      <c r="D34" s="37" t="s">
        <v>20</v>
      </c>
      <c r="E34" s="38" t="s">
        <v>26</v>
      </c>
      <c r="F34" s="38" t="s">
        <v>151</v>
      </c>
      <c r="G34" s="38" t="s">
        <v>14</v>
      </c>
      <c r="H34" s="35" t="s">
        <v>162</v>
      </c>
      <c r="I34" s="38" t="n">
        <v>1</v>
      </c>
      <c r="J34" s="35" t="s">
        <v>94</v>
      </c>
      <c r="K34" s="35"/>
    </row>
    <row r="35" customFormat="false" ht="30" hidden="false" customHeight="true" outlineLevel="0" collapsed="false">
      <c r="A35" s="34" t="s">
        <v>171</v>
      </c>
      <c r="B35" s="35" t="s">
        <v>163</v>
      </c>
      <c r="C35" s="35" t="s">
        <v>172</v>
      </c>
      <c r="D35" s="37" t="s">
        <v>26</v>
      </c>
      <c r="E35" s="38" t="s">
        <v>93</v>
      </c>
      <c r="F35" s="38" t="s">
        <v>151</v>
      </c>
      <c r="G35" s="38" t="s">
        <v>14</v>
      </c>
      <c r="H35" s="35" t="s">
        <v>162</v>
      </c>
      <c r="I35" s="38" t="n">
        <v>1</v>
      </c>
      <c r="J35" s="35" t="s">
        <v>94</v>
      </c>
      <c r="K35" s="35"/>
    </row>
    <row r="36" customFormat="false" ht="30" hidden="false" customHeight="true" outlineLevel="0" collapsed="false">
      <c r="A36" s="16" t="s">
        <v>173</v>
      </c>
      <c r="B36" s="17" t="s">
        <v>174</v>
      </c>
      <c r="C36" s="17" t="s">
        <v>175</v>
      </c>
      <c r="D36" s="18" t="s">
        <v>32</v>
      </c>
      <c r="E36" s="19" t="s">
        <v>8</v>
      </c>
      <c r="F36" s="19" t="s">
        <v>151</v>
      </c>
      <c r="G36" s="19" t="s">
        <v>20</v>
      </c>
      <c r="H36" s="17" t="s">
        <v>113</v>
      </c>
      <c r="I36" s="19" t="n">
        <v>1</v>
      </c>
      <c r="J36" s="17" t="s">
        <v>94</v>
      </c>
      <c r="K36" s="17"/>
    </row>
    <row r="37" customFormat="false" ht="30" hidden="false" customHeight="true" outlineLevel="0" collapsed="false">
      <c r="A37" s="16" t="s">
        <v>176</v>
      </c>
      <c r="B37" s="17" t="s">
        <v>174</v>
      </c>
      <c r="C37" s="17" t="s">
        <v>177</v>
      </c>
      <c r="D37" s="18" t="s">
        <v>8</v>
      </c>
      <c r="E37" s="19" t="s">
        <v>32</v>
      </c>
      <c r="F37" s="19" t="s">
        <v>151</v>
      </c>
      <c r="G37" s="19" t="s">
        <v>20</v>
      </c>
      <c r="H37" s="17" t="s">
        <v>178</v>
      </c>
      <c r="I37" s="19" t="n">
        <v>1</v>
      </c>
      <c r="J37" s="17" t="s">
        <v>94</v>
      </c>
      <c r="K37" s="17"/>
    </row>
    <row r="38" customFormat="false" ht="30" hidden="false" customHeight="true" outlineLevel="0" collapsed="false">
      <c r="A38" s="16" t="s">
        <v>179</v>
      </c>
      <c r="B38" s="17" t="s">
        <v>174</v>
      </c>
      <c r="C38" s="17" t="s">
        <v>180</v>
      </c>
      <c r="D38" s="18" t="s">
        <v>14</v>
      </c>
      <c r="E38" s="19" t="s">
        <v>32</v>
      </c>
      <c r="F38" s="19" t="s">
        <v>151</v>
      </c>
      <c r="G38" s="19" t="s">
        <v>20</v>
      </c>
      <c r="H38" s="17" t="s">
        <v>181</v>
      </c>
      <c r="I38" s="19" t="n">
        <v>1</v>
      </c>
      <c r="J38" s="17" t="s">
        <v>94</v>
      </c>
      <c r="K38" s="17"/>
    </row>
    <row r="39" customFormat="false" ht="30" hidden="false" customHeight="true" outlineLevel="0" collapsed="false">
      <c r="A39" s="16" t="s">
        <v>182</v>
      </c>
      <c r="B39" s="17" t="s">
        <v>174</v>
      </c>
      <c r="C39" s="17" t="s">
        <v>183</v>
      </c>
      <c r="D39" s="18" t="s">
        <v>20</v>
      </c>
      <c r="E39" s="19" t="s">
        <v>32</v>
      </c>
      <c r="F39" s="19" t="s">
        <v>151</v>
      </c>
      <c r="G39" s="19" t="s">
        <v>20</v>
      </c>
      <c r="H39" s="17" t="s">
        <v>184</v>
      </c>
      <c r="I39" s="19" t="n">
        <v>1</v>
      </c>
      <c r="J39" s="17" t="s">
        <v>94</v>
      </c>
      <c r="K39" s="17"/>
    </row>
    <row r="40" customFormat="false" ht="30" hidden="false" customHeight="true" outlineLevel="0" collapsed="false">
      <c r="A40" s="16" t="s">
        <v>185</v>
      </c>
      <c r="B40" s="17" t="s">
        <v>174</v>
      </c>
      <c r="C40" s="17" t="s">
        <v>186</v>
      </c>
      <c r="D40" s="18" t="s">
        <v>26</v>
      </c>
      <c r="E40" s="19" t="s">
        <v>32</v>
      </c>
      <c r="F40" s="19" t="s">
        <v>151</v>
      </c>
      <c r="G40" s="19" t="s">
        <v>20</v>
      </c>
      <c r="H40" s="17" t="s">
        <v>187</v>
      </c>
      <c r="I40" s="19" t="n">
        <v>1</v>
      </c>
      <c r="J40" s="17" t="s">
        <v>94</v>
      </c>
      <c r="K40" s="17"/>
    </row>
    <row r="41" customFormat="false" ht="30" hidden="false" customHeight="true" outlineLevel="0" collapsed="false">
      <c r="A41" s="16" t="s">
        <v>188</v>
      </c>
      <c r="B41" s="17" t="s">
        <v>174</v>
      </c>
      <c r="C41" s="17" t="s">
        <v>189</v>
      </c>
      <c r="D41" s="18" t="s">
        <v>32</v>
      </c>
      <c r="E41" s="19" t="s">
        <v>14</v>
      </c>
      <c r="F41" s="19" t="s">
        <v>151</v>
      </c>
      <c r="G41" s="19" t="s">
        <v>20</v>
      </c>
      <c r="H41" s="17" t="s">
        <v>143</v>
      </c>
      <c r="I41" s="19" t="n">
        <v>2</v>
      </c>
      <c r="J41" s="17" t="s">
        <v>94</v>
      </c>
      <c r="K41" s="17"/>
    </row>
    <row r="42" customFormat="false" ht="30" hidden="false" customHeight="true" outlineLevel="0" collapsed="false">
      <c r="A42" s="20" t="s">
        <v>190</v>
      </c>
      <c r="B42" s="21" t="s">
        <v>191</v>
      </c>
      <c r="C42" s="22" t="s">
        <v>192</v>
      </c>
      <c r="D42" s="23" t="s">
        <v>20</v>
      </c>
      <c r="E42" s="24" t="s">
        <v>32</v>
      </c>
      <c r="F42" s="24" t="s">
        <v>151</v>
      </c>
      <c r="G42" s="24" t="s">
        <v>20</v>
      </c>
      <c r="H42" s="21" t="s">
        <v>93</v>
      </c>
      <c r="I42" s="24" t="n">
        <v>1</v>
      </c>
      <c r="J42" s="21" t="s">
        <v>94</v>
      </c>
      <c r="K42" s="21"/>
    </row>
    <row r="43" customFormat="false" ht="30" hidden="false" customHeight="true" outlineLevel="0" collapsed="false">
      <c r="A43" s="20" t="s">
        <v>193</v>
      </c>
      <c r="B43" s="21" t="s">
        <v>191</v>
      </c>
      <c r="C43" s="21" t="s">
        <v>194</v>
      </c>
      <c r="D43" s="23" t="s">
        <v>20</v>
      </c>
      <c r="E43" s="24" t="s">
        <v>32</v>
      </c>
      <c r="F43" s="24" t="s">
        <v>151</v>
      </c>
      <c r="G43" s="24" t="s">
        <v>20</v>
      </c>
      <c r="H43" s="21" t="s">
        <v>195</v>
      </c>
      <c r="I43" s="24" t="n">
        <v>1</v>
      </c>
      <c r="J43" s="21" t="s">
        <v>94</v>
      </c>
      <c r="K43" s="21"/>
    </row>
    <row r="44" customFormat="false" ht="30" hidden="false" customHeight="true" outlineLevel="0" collapsed="false">
      <c r="A44" s="12" t="s">
        <v>196</v>
      </c>
      <c r="B44" s="13" t="s">
        <v>197</v>
      </c>
      <c r="C44" s="13" t="s">
        <v>198</v>
      </c>
      <c r="D44" s="14" t="s">
        <v>32</v>
      </c>
      <c r="E44" s="15" t="s">
        <v>8</v>
      </c>
      <c r="F44" s="15" t="s">
        <v>199</v>
      </c>
      <c r="G44" s="15" t="s">
        <v>26</v>
      </c>
      <c r="H44" s="13" t="s">
        <v>200</v>
      </c>
      <c r="I44" s="15" t="n">
        <v>1</v>
      </c>
      <c r="J44" s="13" t="s">
        <v>94</v>
      </c>
      <c r="K44" s="13"/>
    </row>
    <row r="45" customFormat="false" ht="30" hidden="false" customHeight="true" outlineLevel="0" collapsed="false">
      <c r="A45" s="12" t="s">
        <v>201</v>
      </c>
      <c r="B45" s="13" t="s">
        <v>197</v>
      </c>
      <c r="C45" s="13" t="s">
        <v>202</v>
      </c>
      <c r="D45" s="14" t="s">
        <v>32</v>
      </c>
      <c r="E45" s="15" t="s">
        <v>8</v>
      </c>
      <c r="F45" s="15" t="s">
        <v>199</v>
      </c>
      <c r="G45" s="15" t="s">
        <v>26</v>
      </c>
      <c r="H45" s="13" t="s">
        <v>196</v>
      </c>
      <c r="I45" s="15" t="n">
        <v>1</v>
      </c>
      <c r="J45" s="13" t="s">
        <v>94</v>
      </c>
      <c r="K45" s="13"/>
    </row>
    <row r="46" customFormat="false" ht="30" hidden="false" customHeight="true" outlineLevel="0" collapsed="false">
      <c r="A46" s="12" t="s">
        <v>203</v>
      </c>
      <c r="B46" s="13" t="s">
        <v>197</v>
      </c>
      <c r="C46" s="13" t="s">
        <v>204</v>
      </c>
      <c r="D46" s="14" t="s">
        <v>20</v>
      </c>
      <c r="E46" s="15" t="s">
        <v>32</v>
      </c>
      <c r="F46" s="15" t="s">
        <v>199</v>
      </c>
      <c r="G46" s="15" t="s">
        <v>26</v>
      </c>
      <c r="H46" s="13" t="s">
        <v>196</v>
      </c>
      <c r="I46" s="15" t="n">
        <v>1</v>
      </c>
      <c r="J46" s="13" t="s">
        <v>94</v>
      </c>
      <c r="K46" s="13"/>
    </row>
    <row r="47" customFormat="false" ht="30" hidden="false" customHeight="true" outlineLevel="0" collapsed="false">
      <c r="A47" s="12" t="s">
        <v>205</v>
      </c>
      <c r="B47" s="13" t="s">
        <v>197</v>
      </c>
      <c r="C47" s="13" t="s">
        <v>206</v>
      </c>
      <c r="D47" s="14" t="s">
        <v>26</v>
      </c>
      <c r="E47" s="15" t="s">
        <v>20</v>
      </c>
      <c r="F47" s="15" t="s">
        <v>199</v>
      </c>
      <c r="G47" s="15" t="s">
        <v>26</v>
      </c>
      <c r="H47" s="13" t="s">
        <v>196</v>
      </c>
      <c r="I47" s="15" t="n">
        <v>1</v>
      </c>
      <c r="J47" s="13" t="s">
        <v>94</v>
      </c>
      <c r="K47" s="13"/>
    </row>
    <row r="48" customFormat="false" ht="30" hidden="false" customHeight="true" outlineLevel="0" collapsed="false">
      <c r="A48" s="39" t="s">
        <v>207</v>
      </c>
      <c r="B48" s="40" t="s">
        <v>208</v>
      </c>
      <c r="C48" s="40" t="s">
        <v>209</v>
      </c>
      <c r="D48" s="41" t="s">
        <v>8</v>
      </c>
      <c r="E48" s="42" t="s">
        <v>32</v>
      </c>
      <c r="F48" s="42" t="s">
        <v>210</v>
      </c>
      <c r="G48" s="42" t="s">
        <v>26</v>
      </c>
      <c r="H48" s="40" t="s">
        <v>93</v>
      </c>
      <c r="I48" s="42" t="n">
        <v>3</v>
      </c>
      <c r="J48" s="40" t="s">
        <v>94</v>
      </c>
      <c r="K48" s="40"/>
    </row>
    <row r="49" customFormat="false" ht="30" hidden="false" customHeight="true" outlineLevel="0" collapsed="false">
      <c r="A49" s="39" t="s">
        <v>211</v>
      </c>
      <c r="B49" s="40" t="s">
        <v>208</v>
      </c>
      <c r="C49" s="40" t="s">
        <v>212</v>
      </c>
      <c r="D49" s="41" t="s">
        <v>14</v>
      </c>
      <c r="E49" s="42" t="s">
        <v>8</v>
      </c>
      <c r="F49" s="42" t="s">
        <v>213</v>
      </c>
      <c r="G49" s="42" t="s">
        <v>26</v>
      </c>
      <c r="H49" s="40" t="s">
        <v>93</v>
      </c>
      <c r="I49" s="42" t="n">
        <v>2</v>
      </c>
      <c r="J49" s="40" t="s">
        <v>94</v>
      </c>
      <c r="K49" s="40"/>
    </row>
    <row r="50" customFormat="false" ht="30" hidden="false" customHeight="true" outlineLevel="0" collapsed="false">
      <c r="A50" s="39" t="s">
        <v>214</v>
      </c>
      <c r="B50" s="40" t="s">
        <v>208</v>
      </c>
      <c r="C50" s="40" t="s">
        <v>215</v>
      </c>
      <c r="D50" s="41" t="s">
        <v>32</v>
      </c>
      <c r="E50" s="42" t="s">
        <v>91</v>
      </c>
      <c r="F50" s="42" t="s">
        <v>199</v>
      </c>
      <c r="G50" s="42" t="s">
        <v>26</v>
      </c>
      <c r="H50" s="40" t="s">
        <v>196</v>
      </c>
      <c r="I50" s="42" t="n">
        <v>2</v>
      </c>
      <c r="J50" s="40" t="s">
        <v>94</v>
      </c>
      <c r="K50" s="40"/>
    </row>
    <row r="51" customFormat="false" ht="30" hidden="false" customHeight="true" outlineLevel="0" collapsed="false">
      <c r="A51" s="39" t="s">
        <v>216</v>
      </c>
      <c r="B51" s="40" t="s">
        <v>208</v>
      </c>
      <c r="C51" s="40" t="s">
        <v>217</v>
      </c>
      <c r="D51" s="41" t="s">
        <v>26</v>
      </c>
      <c r="E51" s="42" t="s">
        <v>32</v>
      </c>
      <c r="F51" s="42" t="s">
        <v>199</v>
      </c>
      <c r="G51" s="42" t="s">
        <v>26</v>
      </c>
      <c r="H51" s="40" t="s">
        <v>196</v>
      </c>
      <c r="I51" s="42" t="n">
        <v>2</v>
      </c>
      <c r="J51" s="40" t="s">
        <v>94</v>
      </c>
      <c r="K51" s="40"/>
    </row>
    <row r="52" customFormat="false" ht="30" hidden="false" customHeight="true" outlineLevel="0" collapsed="false">
      <c r="A52" s="39" t="s">
        <v>218</v>
      </c>
      <c r="B52" s="40" t="s">
        <v>208</v>
      </c>
      <c r="C52" s="40" t="s">
        <v>219</v>
      </c>
      <c r="D52" s="41" t="s">
        <v>8</v>
      </c>
      <c r="E52" s="42" t="s">
        <v>32</v>
      </c>
      <c r="F52" s="42" t="s">
        <v>199</v>
      </c>
      <c r="G52" s="42" t="s">
        <v>26</v>
      </c>
      <c r="H52" s="40" t="s">
        <v>214</v>
      </c>
      <c r="I52" s="42" t="n">
        <v>1</v>
      </c>
      <c r="J52" s="40" t="s">
        <v>94</v>
      </c>
      <c r="K52" s="40"/>
    </row>
    <row r="53" customFormat="false" ht="30" hidden="false" customHeight="true" outlineLevel="0" collapsed="false">
      <c r="A53" s="39" t="s">
        <v>220</v>
      </c>
      <c r="B53" s="40" t="s">
        <v>208</v>
      </c>
      <c r="C53" s="40" t="s">
        <v>221</v>
      </c>
      <c r="D53" s="41" t="s">
        <v>20</v>
      </c>
      <c r="E53" s="42" t="s">
        <v>91</v>
      </c>
      <c r="F53" s="42" t="s">
        <v>199</v>
      </c>
      <c r="G53" s="42" t="s">
        <v>26</v>
      </c>
      <c r="H53" s="40" t="s">
        <v>196</v>
      </c>
      <c r="I53" s="42" t="n">
        <v>2</v>
      </c>
      <c r="J53" s="40" t="s">
        <v>94</v>
      </c>
      <c r="K53" s="40"/>
    </row>
    <row r="54" customFormat="false" ht="30" hidden="false" customHeight="true" outlineLevel="0" collapsed="false">
      <c r="A54" s="39" t="s">
        <v>222</v>
      </c>
      <c r="B54" s="40" t="s">
        <v>208</v>
      </c>
      <c r="C54" s="40" t="s">
        <v>223</v>
      </c>
      <c r="D54" s="41" t="s">
        <v>8</v>
      </c>
      <c r="E54" s="42" t="s">
        <v>91</v>
      </c>
      <c r="F54" s="42" t="s">
        <v>210</v>
      </c>
      <c r="G54" s="42" t="s">
        <v>26</v>
      </c>
      <c r="H54" s="40" t="s">
        <v>93</v>
      </c>
      <c r="I54" s="42" t="n">
        <v>1</v>
      </c>
      <c r="J54" s="40" t="s">
        <v>94</v>
      </c>
      <c r="K54" s="40"/>
    </row>
    <row r="55" customFormat="false" ht="30" hidden="false" customHeight="true" outlineLevel="0" collapsed="false">
      <c r="A55" s="39" t="s">
        <v>224</v>
      </c>
      <c r="B55" s="40" t="s">
        <v>208</v>
      </c>
      <c r="C55" s="43" t="s">
        <v>225</v>
      </c>
      <c r="D55" s="41" t="s">
        <v>32</v>
      </c>
      <c r="E55" s="42" t="s">
        <v>91</v>
      </c>
      <c r="F55" s="42" t="s">
        <v>199</v>
      </c>
      <c r="G55" s="42" t="s">
        <v>26</v>
      </c>
      <c r="H55" s="40" t="s">
        <v>226</v>
      </c>
      <c r="I55" s="42" t="n">
        <v>1</v>
      </c>
      <c r="J55" s="40" t="s">
        <v>94</v>
      </c>
      <c r="K55" s="40"/>
    </row>
  </sheetData>
  <mergeCells count="1">
    <mergeCell ref="A1:K1"/>
  </mergeCells>
  <dataValidations count="1">
    <dataValidation allowBlank="true" errorStyle="stop" operator="between" showDropDown="false" showErrorMessage="false" showInputMessage="false" sqref="J4:J55" type="list">
      <formula1>"Not started,In progress,Blocked,Done"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9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88</v>
      </c>
      <c r="B5" s="5" t="s">
        <v>89</v>
      </c>
      <c r="C5" s="5" t="s">
        <v>90</v>
      </c>
      <c r="D5" s="47" t="s">
        <v>92</v>
      </c>
      <c r="E5" s="47" t="s">
        <v>57</v>
      </c>
      <c r="F5" s="47" t="s">
        <v>93</v>
      </c>
      <c r="G5" s="47" t="n">
        <v>1</v>
      </c>
      <c r="H5" s="5" t="s">
        <v>229</v>
      </c>
    </row>
    <row r="6" customFormat="false" ht="30" hidden="false" customHeight="true" outlineLevel="0" collapsed="false">
      <c r="A6" s="48" t="s">
        <v>95</v>
      </c>
      <c r="B6" s="7" t="s">
        <v>89</v>
      </c>
      <c r="C6" s="7" t="s">
        <v>96</v>
      </c>
      <c r="D6" s="49" t="s">
        <v>92</v>
      </c>
      <c r="E6" s="49" t="s">
        <v>57</v>
      </c>
      <c r="F6" s="49" t="s">
        <v>88</v>
      </c>
      <c r="G6" s="49" t="n">
        <v>1</v>
      </c>
      <c r="H6" s="7" t="s">
        <v>230</v>
      </c>
    </row>
    <row r="7" customFormat="false" ht="30" hidden="false" customHeight="true" outlineLevel="0" collapsed="false">
      <c r="A7" s="46" t="s">
        <v>122</v>
      </c>
      <c r="B7" s="5" t="s">
        <v>120</v>
      </c>
      <c r="C7" s="5" t="s">
        <v>123</v>
      </c>
      <c r="D7" s="47" t="s">
        <v>124</v>
      </c>
      <c r="E7" s="47" t="s">
        <v>8</v>
      </c>
      <c r="F7" s="47" t="s">
        <v>125</v>
      </c>
      <c r="G7" s="47" t="n">
        <v>1</v>
      </c>
      <c r="H7" s="5" t="s">
        <v>231</v>
      </c>
    </row>
    <row r="8" customFormat="false" ht="30" hidden="false" customHeight="true" outlineLevel="0" collapsed="false">
      <c r="A8" s="48" t="s">
        <v>126</v>
      </c>
      <c r="B8" s="7" t="s">
        <v>120</v>
      </c>
      <c r="C8" s="7" t="s">
        <v>127</v>
      </c>
      <c r="D8" s="49" t="s">
        <v>124</v>
      </c>
      <c r="E8" s="49" t="s">
        <v>8</v>
      </c>
      <c r="F8" s="49" t="s">
        <v>122</v>
      </c>
      <c r="G8" s="49" t="n">
        <v>2</v>
      </c>
      <c r="H8" s="7" t="s">
        <v>232</v>
      </c>
    </row>
    <row r="9" customFormat="false" ht="30" hidden="false" customHeight="true" outlineLevel="0" collapsed="false">
      <c r="A9" s="46" t="s">
        <v>149</v>
      </c>
      <c r="B9" s="5" t="s">
        <v>147</v>
      </c>
      <c r="C9" s="5" t="s">
        <v>150</v>
      </c>
      <c r="D9" s="47" t="s">
        <v>151</v>
      </c>
      <c r="E9" s="47" t="s">
        <v>14</v>
      </c>
      <c r="F9" s="47" t="s">
        <v>152</v>
      </c>
      <c r="G9" s="47" t="n">
        <v>1</v>
      </c>
      <c r="H9" s="5" t="s">
        <v>233</v>
      </c>
    </row>
    <row r="10" customFormat="false" ht="30" hidden="false" customHeight="true" outlineLevel="0" collapsed="false">
      <c r="A10" s="48" t="s">
        <v>165</v>
      </c>
      <c r="B10" s="7" t="s">
        <v>163</v>
      </c>
      <c r="C10" s="7" t="s">
        <v>166</v>
      </c>
      <c r="D10" s="49" t="s">
        <v>151</v>
      </c>
      <c r="E10" s="49" t="s">
        <v>14</v>
      </c>
      <c r="F10" s="49" t="s">
        <v>162</v>
      </c>
      <c r="G10" s="49" t="n">
        <v>1</v>
      </c>
      <c r="H10" s="7" t="s">
        <v>234</v>
      </c>
    </row>
    <row r="11" customFormat="false" ht="30" hidden="false" customHeight="true" outlineLevel="0" collapsed="false">
      <c r="A11" s="46" t="s">
        <v>176</v>
      </c>
      <c r="B11" s="5" t="s">
        <v>174</v>
      </c>
      <c r="C11" s="5" t="s">
        <v>177</v>
      </c>
      <c r="D11" s="47" t="s">
        <v>151</v>
      </c>
      <c r="E11" s="47" t="s">
        <v>20</v>
      </c>
      <c r="F11" s="47" t="s">
        <v>178</v>
      </c>
      <c r="G11" s="47" t="n">
        <v>1</v>
      </c>
      <c r="H11" s="5" t="s">
        <v>235</v>
      </c>
    </row>
    <row r="12" customFormat="false" ht="30" hidden="false" customHeight="true" outlineLevel="0" collapsed="false">
      <c r="A12" s="48" t="s">
        <v>207</v>
      </c>
      <c r="B12" s="7" t="s">
        <v>208</v>
      </c>
      <c r="C12" s="7" t="s">
        <v>209</v>
      </c>
      <c r="D12" s="49" t="s">
        <v>210</v>
      </c>
      <c r="E12" s="49" t="s">
        <v>26</v>
      </c>
      <c r="F12" s="49" t="s">
        <v>93</v>
      </c>
      <c r="G12" s="49" t="n">
        <v>3</v>
      </c>
      <c r="H12" s="7" t="s">
        <v>236</v>
      </c>
    </row>
    <row r="13" customFormat="false" ht="30" hidden="false" customHeight="true" outlineLevel="0" collapsed="false">
      <c r="A13" s="46" t="s">
        <v>218</v>
      </c>
      <c r="B13" s="5" t="s">
        <v>208</v>
      </c>
      <c r="C13" s="5" t="s">
        <v>219</v>
      </c>
      <c r="D13" s="47" t="s">
        <v>199</v>
      </c>
      <c r="E13" s="47" t="s">
        <v>26</v>
      </c>
      <c r="F13" s="47" t="s">
        <v>214</v>
      </c>
      <c r="G13" s="47" t="n">
        <v>1</v>
      </c>
      <c r="H13" s="5" t="s">
        <v>237</v>
      </c>
    </row>
    <row r="14" customFormat="false" ht="30" hidden="false" customHeight="true" outlineLevel="0" collapsed="false">
      <c r="A14" s="48" t="s">
        <v>222</v>
      </c>
      <c r="B14" s="7" t="s">
        <v>208</v>
      </c>
      <c r="C14" s="7" t="s">
        <v>223</v>
      </c>
      <c r="D14" s="49" t="s">
        <v>210</v>
      </c>
      <c r="E14" s="49" t="s">
        <v>26</v>
      </c>
      <c r="F14" s="49" t="s">
        <v>93</v>
      </c>
      <c r="G14" s="49" t="n">
        <v>1</v>
      </c>
      <c r="H14" s="7" t="s">
        <v>238</v>
      </c>
    </row>
    <row r="16" customFormat="false" ht="15" hidden="false" customHeight="false" outlineLevel="0" collapsed="false">
      <c r="A16" s="50" t="s">
        <v>239</v>
      </c>
    </row>
    <row r="17" customFormat="false" ht="23.85" hidden="false" customHeight="false" outlineLevel="0" collapsed="false">
      <c r="A17" s="3" t="s">
        <v>79</v>
      </c>
      <c r="B17" s="3" t="s">
        <v>81</v>
      </c>
      <c r="C17" s="3" t="s">
        <v>45</v>
      </c>
      <c r="D17" s="3" t="s">
        <v>47</v>
      </c>
    </row>
    <row r="18" customFormat="false" ht="25.5" hidden="false" customHeight="true" outlineLevel="0" collapsed="false">
      <c r="A18" s="49" t="s">
        <v>99</v>
      </c>
      <c r="B18" s="7" t="s">
        <v>100</v>
      </c>
      <c r="C18" s="49" t="s">
        <v>32</v>
      </c>
      <c r="D18" s="49" t="s">
        <v>92</v>
      </c>
    </row>
    <row r="19" customFormat="false" ht="25.5" hidden="false" customHeight="true" outlineLevel="0" collapsed="false">
      <c r="A19" s="47" t="s">
        <v>101</v>
      </c>
      <c r="B19" s="5" t="s">
        <v>103</v>
      </c>
      <c r="C19" s="47" t="s">
        <v>14</v>
      </c>
      <c r="D19" s="47" t="s">
        <v>92</v>
      </c>
    </row>
    <row r="20" customFormat="false" ht="25.5" hidden="false" customHeight="true" outlineLevel="0" collapsed="false">
      <c r="A20" s="49" t="s">
        <v>110</v>
      </c>
      <c r="B20" s="7" t="s">
        <v>111</v>
      </c>
      <c r="C20" s="49" t="s">
        <v>14</v>
      </c>
      <c r="D20" s="49" t="s">
        <v>92</v>
      </c>
    </row>
    <row r="21" customFormat="false" ht="25.5" hidden="false" customHeight="true" outlineLevel="0" collapsed="false">
      <c r="A21" s="47" t="s">
        <v>116</v>
      </c>
      <c r="B21" s="5" t="s">
        <v>118</v>
      </c>
      <c r="C21" s="47" t="s">
        <v>14</v>
      </c>
      <c r="D21" s="47" t="s">
        <v>92</v>
      </c>
    </row>
    <row r="22" customFormat="false" ht="25.5" hidden="false" customHeight="true" outlineLevel="0" collapsed="false">
      <c r="A22" s="49" t="s">
        <v>173</v>
      </c>
      <c r="B22" s="7" t="s">
        <v>175</v>
      </c>
      <c r="C22" s="49" t="s">
        <v>32</v>
      </c>
      <c r="D22" s="49" t="s">
        <v>151</v>
      </c>
    </row>
    <row r="23" customFormat="false" ht="25.5" hidden="false" customHeight="true" outlineLevel="0" collapsed="false">
      <c r="A23" s="47" t="s">
        <v>196</v>
      </c>
      <c r="B23" s="5" t="s">
        <v>198</v>
      </c>
      <c r="C23" s="47" t="s">
        <v>32</v>
      </c>
      <c r="D23" s="47" t="s">
        <v>199</v>
      </c>
    </row>
    <row r="24" customFormat="false" ht="25.5" hidden="false" customHeight="true" outlineLevel="0" collapsed="false">
      <c r="A24" s="49" t="s">
        <v>201</v>
      </c>
      <c r="B24" s="7" t="s">
        <v>202</v>
      </c>
      <c r="C24" s="49" t="s">
        <v>32</v>
      </c>
      <c r="D24" s="49" t="s">
        <v>199</v>
      </c>
    </row>
    <row r="25" customFormat="false" ht="25.5" hidden="false" customHeight="true" outlineLevel="0" collapsed="false">
      <c r="A25" s="47" t="s">
        <v>211</v>
      </c>
      <c r="B25" s="5" t="s">
        <v>212</v>
      </c>
      <c r="C25" s="47" t="s">
        <v>14</v>
      </c>
      <c r="D25" s="47" t="s">
        <v>213</v>
      </c>
    </row>
    <row r="26" customFormat="false" ht="25.5" hidden="false" customHeight="true" outlineLevel="0" collapsed="false">
      <c r="A26" s="49" t="s">
        <v>214</v>
      </c>
      <c r="B26" s="7" t="s">
        <v>215</v>
      </c>
      <c r="C26" s="49" t="s">
        <v>32</v>
      </c>
      <c r="D26" s="49" t="s">
        <v>199</v>
      </c>
    </row>
    <row r="27" customFormat="false" ht="25.5" hidden="false" customHeight="true" outlineLevel="0" collapsed="false">
      <c r="A27" s="47" t="s">
        <v>220</v>
      </c>
      <c r="B27" s="5" t="s">
        <v>221</v>
      </c>
      <c r="C27" s="47" t="s">
        <v>20</v>
      </c>
      <c r="D27" s="47" t="s">
        <v>199</v>
      </c>
    </row>
    <row r="28" customFormat="false" ht="25.5" hidden="false" customHeight="true" outlineLevel="0" collapsed="false">
      <c r="A28" s="47" t="s">
        <v>224</v>
      </c>
      <c r="B28" s="5" t="s">
        <v>225</v>
      </c>
      <c r="C28" s="47" t="s">
        <v>32</v>
      </c>
      <c r="D28" s="47" t="s">
        <v>199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15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101</v>
      </c>
      <c r="B5" s="5" t="s">
        <v>102</v>
      </c>
      <c r="C5" s="5" t="s">
        <v>103</v>
      </c>
      <c r="D5" s="47" t="s">
        <v>92</v>
      </c>
      <c r="E5" s="47" t="s">
        <v>57</v>
      </c>
      <c r="F5" s="47" t="s">
        <v>93</v>
      </c>
      <c r="G5" s="47" t="n">
        <v>1</v>
      </c>
      <c r="H5" s="5" t="s">
        <v>240</v>
      </c>
    </row>
    <row r="6" customFormat="false" ht="30" hidden="false" customHeight="true" outlineLevel="0" collapsed="false">
      <c r="A6" s="48" t="s">
        <v>104</v>
      </c>
      <c r="B6" s="7" t="s">
        <v>102</v>
      </c>
      <c r="C6" s="7" t="s">
        <v>105</v>
      </c>
      <c r="D6" s="49" t="s">
        <v>92</v>
      </c>
      <c r="E6" s="49" t="s">
        <v>57</v>
      </c>
      <c r="F6" s="49" t="s">
        <v>99</v>
      </c>
      <c r="G6" s="49" t="n">
        <v>1</v>
      </c>
      <c r="H6" s="7" t="s">
        <v>241</v>
      </c>
    </row>
    <row r="7" customFormat="false" ht="30" hidden="false" customHeight="true" outlineLevel="0" collapsed="false">
      <c r="A7" s="46" t="s">
        <v>106</v>
      </c>
      <c r="B7" s="5" t="s">
        <v>102</v>
      </c>
      <c r="C7" s="5" t="s">
        <v>107</v>
      </c>
      <c r="D7" s="47" t="s">
        <v>92</v>
      </c>
      <c r="E7" s="47" t="s">
        <v>57</v>
      </c>
      <c r="F7" s="47" t="s">
        <v>104</v>
      </c>
      <c r="G7" s="47" t="n">
        <v>1</v>
      </c>
      <c r="H7" s="5" t="s">
        <v>242</v>
      </c>
    </row>
    <row r="8" customFormat="false" ht="30" hidden="false" customHeight="true" outlineLevel="0" collapsed="false">
      <c r="A8" s="48" t="s">
        <v>108</v>
      </c>
      <c r="B8" s="7" t="s">
        <v>102</v>
      </c>
      <c r="C8" s="7" t="s">
        <v>109</v>
      </c>
      <c r="D8" s="49" t="s">
        <v>92</v>
      </c>
      <c r="E8" s="49" t="s">
        <v>57</v>
      </c>
      <c r="F8" s="49" t="s">
        <v>104</v>
      </c>
      <c r="G8" s="49" t="n">
        <v>1</v>
      </c>
      <c r="H8" s="7" t="s">
        <v>243</v>
      </c>
    </row>
    <row r="9" customFormat="false" ht="30" hidden="false" customHeight="true" outlineLevel="0" collapsed="false">
      <c r="A9" s="46" t="s">
        <v>110</v>
      </c>
      <c r="B9" s="5" t="s">
        <v>102</v>
      </c>
      <c r="C9" s="5" t="s">
        <v>111</v>
      </c>
      <c r="D9" s="47" t="s">
        <v>92</v>
      </c>
      <c r="E9" s="47" t="s">
        <v>57</v>
      </c>
      <c r="F9" s="47" t="s">
        <v>112</v>
      </c>
      <c r="G9" s="47" t="n">
        <v>1</v>
      </c>
      <c r="H9" s="5" t="s">
        <v>244</v>
      </c>
    </row>
    <row r="10" customFormat="false" ht="30" hidden="false" customHeight="true" outlineLevel="0" collapsed="false">
      <c r="A10" s="48" t="s">
        <v>116</v>
      </c>
      <c r="B10" s="7" t="s">
        <v>117</v>
      </c>
      <c r="C10" s="51" t="s">
        <v>118</v>
      </c>
      <c r="D10" s="49" t="s">
        <v>92</v>
      </c>
      <c r="E10" s="49" t="s">
        <v>57</v>
      </c>
      <c r="F10" s="49" t="s">
        <v>110</v>
      </c>
      <c r="G10" s="49" t="n">
        <v>2</v>
      </c>
      <c r="H10" s="7" t="s">
        <v>245</v>
      </c>
    </row>
    <row r="11" customFormat="false" ht="30" hidden="false" customHeight="true" outlineLevel="0" collapsed="false">
      <c r="A11" s="46" t="s">
        <v>128</v>
      </c>
      <c r="B11" s="5" t="s">
        <v>120</v>
      </c>
      <c r="C11" s="5" t="s">
        <v>129</v>
      </c>
      <c r="D11" s="47" t="s">
        <v>124</v>
      </c>
      <c r="E11" s="47" t="s">
        <v>8</v>
      </c>
      <c r="F11" s="47" t="s">
        <v>125</v>
      </c>
      <c r="G11" s="47" t="n">
        <v>1</v>
      </c>
      <c r="H11" s="5" t="s">
        <v>246</v>
      </c>
    </row>
    <row r="12" customFormat="false" ht="30" hidden="false" customHeight="true" outlineLevel="0" collapsed="false">
      <c r="A12" s="48" t="s">
        <v>130</v>
      </c>
      <c r="B12" s="7" t="s">
        <v>120</v>
      </c>
      <c r="C12" s="7" t="s">
        <v>131</v>
      </c>
      <c r="D12" s="49" t="s">
        <v>124</v>
      </c>
      <c r="E12" s="49" t="s">
        <v>8</v>
      </c>
      <c r="F12" s="49" t="s">
        <v>128</v>
      </c>
      <c r="G12" s="49" t="n">
        <v>2</v>
      </c>
      <c r="H12" s="7" t="s">
        <v>247</v>
      </c>
    </row>
    <row r="13" customFormat="false" ht="30" hidden="false" customHeight="true" outlineLevel="0" collapsed="false">
      <c r="A13" s="46" t="s">
        <v>153</v>
      </c>
      <c r="B13" s="5" t="s">
        <v>147</v>
      </c>
      <c r="C13" s="5" t="s">
        <v>154</v>
      </c>
      <c r="D13" s="47" t="s">
        <v>151</v>
      </c>
      <c r="E13" s="47" t="s">
        <v>14</v>
      </c>
      <c r="F13" s="47" t="s">
        <v>155</v>
      </c>
      <c r="G13" s="47" t="n">
        <v>1</v>
      </c>
      <c r="H13" s="5" t="s">
        <v>248</v>
      </c>
    </row>
    <row r="14" customFormat="false" ht="30" hidden="false" customHeight="true" outlineLevel="0" collapsed="false">
      <c r="A14" s="48" t="s">
        <v>167</v>
      </c>
      <c r="B14" s="7" t="s">
        <v>163</v>
      </c>
      <c r="C14" s="7" t="s">
        <v>168</v>
      </c>
      <c r="D14" s="49" t="s">
        <v>151</v>
      </c>
      <c r="E14" s="49" t="s">
        <v>14</v>
      </c>
      <c r="F14" s="49" t="s">
        <v>162</v>
      </c>
      <c r="G14" s="49" t="n">
        <v>1</v>
      </c>
      <c r="H14" s="7" t="s">
        <v>249</v>
      </c>
    </row>
    <row r="15" customFormat="false" ht="30" hidden="false" customHeight="true" outlineLevel="0" collapsed="false">
      <c r="A15" s="46" t="s">
        <v>179</v>
      </c>
      <c r="B15" s="5" t="s">
        <v>174</v>
      </c>
      <c r="C15" s="5" t="s">
        <v>180</v>
      </c>
      <c r="D15" s="47" t="s">
        <v>151</v>
      </c>
      <c r="E15" s="47" t="s">
        <v>20</v>
      </c>
      <c r="F15" s="47" t="s">
        <v>181</v>
      </c>
      <c r="G15" s="47" t="n">
        <v>1</v>
      </c>
      <c r="H15" s="5" t="s">
        <v>250</v>
      </c>
    </row>
    <row r="16" customFormat="false" ht="30" hidden="false" customHeight="true" outlineLevel="0" collapsed="false">
      <c r="A16" s="48" t="s">
        <v>211</v>
      </c>
      <c r="B16" s="7" t="s">
        <v>208</v>
      </c>
      <c r="C16" s="7" t="s">
        <v>212</v>
      </c>
      <c r="D16" s="49" t="s">
        <v>213</v>
      </c>
      <c r="E16" s="49" t="s">
        <v>26</v>
      </c>
      <c r="F16" s="49" t="s">
        <v>93</v>
      </c>
      <c r="G16" s="49" t="n">
        <v>2</v>
      </c>
      <c r="H16" s="7" t="s">
        <v>251</v>
      </c>
    </row>
    <row r="18" customFormat="false" ht="15" hidden="false" customHeight="false" outlineLevel="0" collapsed="false">
      <c r="A18" s="50" t="s">
        <v>239</v>
      </c>
    </row>
    <row r="19" customFormat="false" ht="23.85" hidden="false" customHeight="false" outlineLevel="0" collapsed="false">
      <c r="A19" s="3" t="s">
        <v>79</v>
      </c>
      <c r="B19" s="3" t="s">
        <v>81</v>
      </c>
      <c r="C19" s="3" t="s">
        <v>45</v>
      </c>
      <c r="D19" s="3" t="s">
        <v>47</v>
      </c>
    </row>
    <row r="20" customFormat="false" ht="25.5" hidden="false" customHeight="true" outlineLevel="0" collapsed="false">
      <c r="A20" s="47" t="s">
        <v>88</v>
      </c>
      <c r="B20" s="5" t="s">
        <v>90</v>
      </c>
      <c r="C20" s="47" t="s">
        <v>8</v>
      </c>
      <c r="D20" s="47" t="s">
        <v>92</v>
      </c>
    </row>
    <row r="21" customFormat="false" ht="25.5" hidden="false" customHeight="true" outlineLevel="0" collapsed="false">
      <c r="A21" s="49" t="s">
        <v>97</v>
      </c>
      <c r="B21" s="7" t="s">
        <v>98</v>
      </c>
      <c r="C21" s="49" t="s">
        <v>20</v>
      </c>
      <c r="D21" s="49" t="s">
        <v>92</v>
      </c>
    </row>
    <row r="22" customFormat="false" ht="25.5" hidden="false" customHeight="true" outlineLevel="0" collapsed="false">
      <c r="A22" s="47" t="s">
        <v>99</v>
      </c>
      <c r="B22" s="5" t="s">
        <v>100</v>
      </c>
      <c r="C22" s="47" t="s">
        <v>32</v>
      </c>
      <c r="D22" s="47" t="s">
        <v>92</v>
      </c>
    </row>
    <row r="23" customFormat="false" ht="25.5" hidden="false" customHeight="true" outlineLevel="0" collapsed="false">
      <c r="A23" s="49" t="s">
        <v>113</v>
      </c>
      <c r="B23" s="7" t="s">
        <v>114</v>
      </c>
      <c r="C23" s="49" t="s">
        <v>32</v>
      </c>
      <c r="D23" s="49" t="s">
        <v>115</v>
      </c>
    </row>
    <row r="24" customFormat="false" ht="25.5" hidden="false" customHeight="true" outlineLevel="0" collapsed="false">
      <c r="A24" s="49" t="s">
        <v>119</v>
      </c>
      <c r="B24" s="7" t="s">
        <v>121</v>
      </c>
      <c r="C24" s="49" t="s">
        <v>32</v>
      </c>
      <c r="D24" s="49" t="s">
        <v>115</v>
      </c>
    </row>
    <row r="25" customFormat="false" ht="25.5" hidden="false" customHeight="true" outlineLevel="0" collapsed="false">
      <c r="A25" s="47" t="s">
        <v>140</v>
      </c>
      <c r="B25" s="5" t="s">
        <v>142</v>
      </c>
      <c r="C25" s="47" t="s">
        <v>32</v>
      </c>
      <c r="D25" s="47" t="s">
        <v>124</v>
      </c>
    </row>
    <row r="26" customFormat="false" ht="25.5" hidden="false" customHeight="true" outlineLevel="0" collapsed="false">
      <c r="A26" s="49" t="s">
        <v>143</v>
      </c>
      <c r="B26" s="7" t="s">
        <v>144</v>
      </c>
      <c r="C26" s="49" t="s">
        <v>32</v>
      </c>
      <c r="D26" s="49" t="s">
        <v>145</v>
      </c>
    </row>
    <row r="27" customFormat="false" ht="25.5" hidden="false" customHeight="true" outlineLevel="0" collapsed="false">
      <c r="A27" s="47" t="s">
        <v>146</v>
      </c>
      <c r="B27" s="5" t="s">
        <v>148</v>
      </c>
      <c r="C27" s="47" t="s">
        <v>32</v>
      </c>
      <c r="D27" s="47" t="s">
        <v>145</v>
      </c>
    </row>
    <row r="28" customFormat="false" ht="25.5" hidden="false" customHeight="true" outlineLevel="0" collapsed="false">
      <c r="A28" s="49" t="s">
        <v>188</v>
      </c>
      <c r="B28" s="7" t="s">
        <v>189</v>
      </c>
      <c r="C28" s="49" t="s">
        <v>32</v>
      </c>
      <c r="D28" s="49" t="s">
        <v>151</v>
      </c>
    </row>
    <row r="29" customFormat="false" ht="25.5" hidden="false" customHeight="true" outlineLevel="0" collapsed="false">
      <c r="A29" s="47" t="s">
        <v>214</v>
      </c>
      <c r="B29" s="5" t="s">
        <v>215</v>
      </c>
      <c r="C29" s="47" t="s">
        <v>32</v>
      </c>
      <c r="D29" s="47" t="s">
        <v>199</v>
      </c>
    </row>
    <row r="30" customFormat="false" ht="25.5" hidden="false" customHeight="true" outlineLevel="0" collapsed="false">
      <c r="A30" s="49" t="s">
        <v>220</v>
      </c>
      <c r="B30" s="7" t="s">
        <v>221</v>
      </c>
      <c r="C30" s="49" t="s">
        <v>20</v>
      </c>
      <c r="D30" s="49" t="s">
        <v>199</v>
      </c>
    </row>
    <row r="31" customFormat="false" ht="25.5" hidden="false" customHeight="true" outlineLevel="0" collapsed="false">
      <c r="A31" s="47" t="s">
        <v>222</v>
      </c>
      <c r="B31" s="5" t="s">
        <v>223</v>
      </c>
      <c r="C31" s="47" t="s">
        <v>8</v>
      </c>
      <c r="D31" s="47" t="s">
        <v>210</v>
      </c>
    </row>
    <row r="32" customFormat="false" ht="25.5" hidden="false" customHeight="true" outlineLevel="0" collapsed="false">
      <c r="A32" s="49" t="s">
        <v>224</v>
      </c>
      <c r="B32" s="7" t="s">
        <v>225</v>
      </c>
      <c r="C32" s="49" t="s">
        <v>32</v>
      </c>
      <c r="D32" s="49" t="s">
        <v>199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21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97</v>
      </c>
      <c r="B5" s="5" t="s">
        <v>89</v>
      </c>
      <c r="C5" s="5" t="s">
        <v>98</v>
      </c>
      <c r="D5" s="47" t="s">
        <v>92</v>
      </c>
      <c r="E5" s="47" t="s">
        <v>57</v>
      </c>
      <c r="F5" s="47" t="s">
        <v>88</v>
      </c>
      <c r="G5" s="47" t="n">
        <v>1</v>
      </c>
      <c r="H5" s="5" t="s">
        <v>252</v>
      </c>
    </row>
    <row r="6" customFormat="false" ht="30" hidden="false" customHeight="true" outlineLevel="0" collapsed="false">
      <c r="A6" s="48" t="s">
        <v>132</v>
      </c>
      <c r="B6" s="7" t="s">
        <v>120</v>
      </c>
      <c r="C6" s="7" t="s">
        <v>133</v>
      </c>
      <c r="D6" s="49" t="s">
        <v>124</v>
      </c>
      <c r="E6" s="49" t="s">
        <v>8</v>
      </c>
      <c r="F6" s="49" t="s">
        <v>125</v>
      </c>
      <c r="G6" s="49" t="n">
        <v>1</v>
      </c>
      <c r="H6" s="7" t="s">
        <v>253</v>
      </c>
    </row>
    <row r="7" customFormat="false" ht="30" hidden="false" customHeight="true" outlineLevel="0" collapsed="false">
      <c r="A7" s="46" t="s">
        <v>134</v>
      </c>
      <c r="B7" s="5" t="s">
        <v>120</v>
      </c>
      <c r="C7" s="5" t="s">
        <v>135</v>
      </c>
      <c r="D7" s="47" t="s">
        <v>124</v>
      </c>
      <c r="E7" s="47" t="s">
        <v>8</v>
      </c>
      <c r="F7" s="47" t="s">
        <v>132</v>
      </c>
      <c r="G7" s="47" t="n">
        <v>2</v>
      </c>
      <c r="H7" s="5" t="s">
        <v>254</v>
      </c>
    </row>
    <row r="8" customFormat="false" ht="30" hidden="false" customHeight="true" outlineLevel="0" collapsed="false">
      <c r="A8" s="48" t="s">
        <v>156</v>
      </c>
      <c r="B8" s="7" t="s">
        <v>147</v>
      </c>
      <c r="C8" s="7" t="s">
        <v>157</v>
      </c>
      <c r="D8" s="49" t="s">
        <v>151</v>
      </c>
      <c r="E8" s="49" t="s">
        <v>14</v>
      </c>
      <c r="F8" s="49" t="s">
        <v>158</v>
      </c>
      <c r="G8" s="49" t="n">
        <v>1</v>
      </c>
      <c r="H8" s="7" t="s">
        <v>255</v>
      </c>
    </row>
    <row r="9" customFormat="false" ht="30" hidden="false" customHeight="true" outlineLevel="0" collapsed="false">
      <c r="A9" s="46" t="s">
        <v>169</v>
      </c>
      <c r="B9" s="5" t="s">
        <v>163</v>
      </c>
      <c r="C9" s="5" t="s">
        <v>170</v>
      </c>
      <c r="D9" s="47" t="s">
        <v>151</v>
      </c>
      <c r="E9" s="47" t="s">
        <v>14</v>
      </c>
      <c r="F9" s="47" t="s">
        <v>162</v>
      </c>
      <c r="G9" s="47" t="n">
        <v>1</v>
      </c>
      <c r="H9" s="5" t="s">
        <v>256</v>
      </c>
    </row>
    <row r="10" customFormat="false" ht="30" hidden="false" customHeight="true" outlineLevel="0" collapsed="false">
      <c r="A10" s="48" t="s">
        <v>182</v>
      </c>
      <c r="B10" s="7" t="s">
        <v>174</v>
      </c>
      <c r="C10" s="7" t="s">
        <v>183</v>
      </c>
      <c r="D10" s="49" t="s">
        <v>151</v>
      </c>
      <c r="E10" s="49" t="s">
        <v>20</v>
      </c>
      <c r="F10" s="49" t="s">
        <v>184</v>
      </c>
      <c r="G10" s="49" t="n">
        <v>1</v>
      </c>
      <c r="H10" s="7" t="s">
        <v>257</v>
      </c>
    </row>
    <row r="11" customFormat="false" ht="30" hidden="false" customHeight="true" outlineLevel="0" collapsed="false">
      <c r="A11" s="46" t="s">
        <v>190</v>
      </c>
      <c r="B11" s="5" t="s">
        <v>191</v>
      </c>
      <c r="C11" s="52" t="s">
        <v>192</v>
      </c>
      <c r="D11" s="47" t="s">
        <v>151</v>
      </c>
      <c r="E11" s="47" t="s">
        <v>20</v>
      </c>
      <c r="F11" s="47" t="s">
        <v>93</v>
      </c>
      <c r="G11" s="47" t="n">
        <v>1</v>
      </c>
      <c r="H11" s="5" t="s">
        <v>258</v>
      </c>
    </row>
    <row r="12" customFormat="false" ht="30" hidden="false" customHeight="true" outlineLevel="0" collapsed="false">
      <c r="A12" s="48" t="s">
        <v>193</v>
      </c>
      <c r="B12" s="7" t="s">
        <v>191</v>
      </c>
      <c r="C12" s="7" t="s">
        <v>194</v>
      </c>
      <c r="D12" s="49" t="s">
        <v>151</v>
      </c>
      <c r="E12" s="49" t="s">
        <v>20</v>
      </c>
      <c r="F12" s="49" t="s">
        <v>195</v>
      </c>
      <c r="G12" s="49" t="n">
        <v>1</v>
      </c>
      <c r="H12" s="7" t="s">
        <v>259</v>
      </c>
    </row>
    <row r="13" customFormat="false" ht="30" hidden="false" customHeight="true" outlineLevel="0" collapsed="false">
      <c r="A13" s="46" t="s">
        <v>203</v>
      </c>
      <c r="B13" s="5" t="s">
        <v>197</v>
      </c>
      <c r="C13" s="5" t="s">
        <v>204</v>
      </c>
      <c r="D13" s="47" t="s">
        <v>199</v>
      </c>
      <c r="E13" s="47" t="s">
        <v>26</v>
      </c>
      <c r="F13" s="47" t="s">
        <v>196</v>
      </c>
      <c r="G13" s="47" t="n">
        <v>1</v>
      </c>
      <c r="H13" s="5" t="s">
        <v>260</v>
      </c>
    </row>
    <row r="14" customFormat="false" ht="30" hidden="false" customHeight="true" outlineLevel="0" collapsed="false">
      <c r="A14" s="48" t="s">
        <v>220</v>
      </c>
      <c r="B14" s="7" t="s">
        <v>208</v>
      </c>
      <c r="C14" s="7" t="s">
        <v>221</v>
      </c>
      <c r="D14" s="49" t="s">
        <v>199</v>
      </c>
      <c r="E14" s="49" t="s">
        <v>26</v>
      </c>
      <c r="F14" s="49" t="s">
        <v>196</v>
      </c>
      <c r="G14" s="49" t="n">
        <v>2</v>
      </c>
      <c r="H14" s="7" t="s">
        <v>261</v>
      </c>
    </row>
    <row r="16" customFormat="false" ht="15" hidden="false" customHeight="false" outlineLevel="0" collapsed="false">
      <c r="A16" s="50" t="s">
        <v>239</v>
      </c>
    </row>
    <row r="17" customFormat="false" ht="23.85" hidden="false" customHeight="false" outlineLevel="0" collapsed="false">
      <c r="A17" s="3" t="s">
        <v>79</v>
      </c>
      <c r="B17" s="3" t="s">
        <v>81</v>
      </c>
      <c r="C17" s="3" t="s">
        <v>45</v>
      </c>
      <c r="D17" s="3" t="s">
        <v>47</v>
      </c>
    </row>
    <row r="18" customFormat="false" ht="25.5" hidden="false" customHeight="true" outlineLevel="0" collapsed="false">
      <c r="A18" s="47" t="s">
        <v>88</v>
      </c>
      <c r="B18" s="5" t="s">
        <v>90</v>
      </c>
      <c r="C18" s="47" t="s">
        <v>8</v>
      </c>
      <c r="D18" s="47" t="s">
        <v>92</v>
      </c>
    </row>
    <row r="19" customFormat="false" ht="25.5" hidden="false" customHeight="true" outlineLevel="0" collapsed="false">
      <c r="A19" s="49" t="s">
        <v>99</v>
      </c>
      <c r="B19" s="7" t="s">
        <v>100</v>
      </c>
      <c r="C19" s="49" t="s">
        <v>32</v>
      </c>
      <c r="D19" s="49" t="s">
        <v>92</v>
      </c>
    </row>
    <row r="20" customFormat="false" ht="25.5" hidden="false" customHeight="true" outlineLevel="0" collapsed="false">
      <c r="A20" s="47" t="s">
        <v>104</v>
      </c>
      <c r="B20" s="5" t="s">
        <v>105</v>
      </c>
      <c r="C20" s="47" t="s">
        <v>14</v>
      </c>
      <c r="D20" s="47" t="s">
        <v>92</v>
      </c>
    </row>
    <row r="21" customFormat="false" ht="25.5" hidden="false" customHeight="true" outlineLevel="0" collapsed="false">
      <c r="A21" s="49" t="s">
        <v>116</v>
      </c>
      <c r="B21" s="7" t="s">
        <v>118</v>
      </c>
      <c r="C21" s="49" t="s">
        <v>14</v>
      </c>
      <c r="D21" s="49" t="s">
        <v>92</v>
      </c>
    </row>
    <row r="22" customFormat="false" ht="25.5" hidden="false" customHeight="true" outlineLevel="0" collapsed="false">
      <c r="A22" s="47" t="s">
        <v>162</v>
      </c>
      <c r="B22" s="5" t="s">
        <v>164</v>
      </c>
      <c r="C22" s="47" t="s">
        <v>26</v>
      </c>
      <c r="D22" s="47" t="s">
        <v>145</v>
      </c>
    </row>
    <row r="23" customFormat="false" ht="25.5" hidden="false" customHeight="true" outlineLevel="0" collapsed="false">
      <c r="A23" s="49" t="s">
        <v>205</v>
      </c>
      <c r="B23" s="7" t="s">
        <v>206</v>
      </c>
      <c r="C23" s="49" t="s">
        <v>26</v>
      </c>
      <c r="D23" s="49" t="s">
        <v>199</v>
      </c>
    </row>
    <row r="24" customFormat="false" ht="25.5" hidden="false" customHeight="true" outlineLevel="0" collapsed="false">
      <c r="A24" s="47" t="s">
        <v>214</v>
      </c>
      <c r="B24" s="5" t="s">
        <v>215</v>
      </c>
      <c r="C24" s="47" t="s">
        <v>32</v>
      </c>
      <c r="D24" s="47" t="s">
        <v>199</v>
      </c>
    </row>
    <row r="25" customFormat="false" ht="25.5" hidden="false" customHeight="true" outlineLevel="0" collapsed="false">
      <c r="A25" s="47" t="s">
        <v>222</v>
      </c>
      <c r="B25" s="5" t="s">
        <v>223</v>
      </c>
      <c r="C25" s="47" t="s">
        <v>8</v>
      </c>
      <c r="D25" s="47" t="s">
        <v>210</v>
      </c>
    </row>
    <row r="26" customFormat="false" ht="25.5" hidden="false" customHeight="true" outlineLevel="0" collapsed="false">
      <c r="A26" s="49" t="s">
        <v>224</v>
      </c>
      <c r="B26" s="7" t="s">
        <v>225</v>
      </c>
      <c r="C26" s="49" t="s">
        <v>32</v>
      </c>
      <c r="D26" s="49" t="s">
        <v>199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27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136</v>
      </c>
      <c r="B5" s="5" t="s">
        <v>120</v>
      </c>
      <c r="C5" s="5" t="s">
        <v>137</v>
      </c>
      <c r="D5" s="47" t="s">
        <v>124</v>
      </c>
      <c r="E5" s="47" t="s">
        <v>8</v>
      </c>
      <c r="F5" s="47" t="s">
        <v>125</v>
      </c>
      <c r="G5" s="47" t="n">
        <v>1</v>
      </c>
      <c r="H5" s="5" t="s">
        <v>262</v>
      </c>
    </row>
    <row r="6" customFormat="false" ht="30" hidden="false" customHeight="true" outlineLevel="0" collapsed="false">
      <c r="A6" s="48" t="s">
        <v>138</v>
      </c>
      <c r="B6" s="7" t="s">
        <v>120</v>
      </c>
      <c r="C6" s="7" t="s">
        <v>139</v>
      </c>
      <c r="D6" s="49" t="s">
        <v>124</v>
      </c>
      <c r="E6" s="49" t="s">
        <v>8</v>
      </c>
      <c r="F6" s="49" t="s">
        <v>136</v>
      </c>
      <c r="G6" s="49" t="n">
        <v>2</v>
      </c>
      <c r="H6" s="7" t="s">
        <v>263</v>
      </c>
    </row>
    <row r="7" customFormat="false" ht="30" hidden="false" customHeight="true" outlineLevel="0" collapsed="false">
      <c r="A7" s="46" t="s">
        <v>159</v>
      </c>
      <c r="B7" s="5" t="s">
        <v>147</v>
      </c>
      <c r="C7" s="5" t="s">
        <v>160</v>
      </c>
      <c r="D7" s="47" t="s">
        <v>151</v>
      </c>
      <c r="E7" s="47" t="s">
        <v>14</v>
      </c>
      <c r="F7" s="47" t="s">
        <v>161</v>
      </c>
      <c r="G7" s="47" t="n">
        <v>1</v>
      </c>
      <c r="H7" s="5" t="s">
        <v>264</v>
      </c>
    </row>
    <row r="8" customFormat="false" ht="30" hidden="false" customHeight="true" outlineLevel="0" collapsed="false">
      <c r="A8" s="48" t="s">
        <v>162</v>
      </c>
      <c r="B8" s="7" t="s">
        <v>163</v>
      </c>
      <c r="C8" s="51" t="s">
        <v>164</v>
      </c>
      <c r="D8" s="49" t="s">
        <v>145</v>
      </c>
      <c r="E8" s="49" t="s">
        <v>14</v>
      </c>
      <c r="F8" s="49" t="s">
        <v>143</v>
      </c>
      <c r="G8" s="49" t="n">
        <v>2</v>
      </c>
      <c r="H8" s="7" t="s">
        <v>265</v>
      </c>
    </row>
    <row r="9" customFormat="false" ht="30" hidden="false" customHeight="true" outlineLevel="0" collapsed="false">
      <c r="A9" s="46" t="s">
        <v>171</v>
      </c>
      <c r="B9" s="5" t="s">
        <v>163</v>
      </c>
      <c r="C9" s="5" t="s">
        <v>172</v>
      </c>
      <c r="D9" s="47" t="s">
        <v>151</v>
      </c>
      <c r="E9" s="47" t="s">
        <v>14</v>
      </c>
      <c r="F9" s="47" t="s">
        <v>162</v>
      </c>
      <c r="G9" s="47" t="n">
        <v>1</v>
      </c>
      <c r="H9" s="5" t="s">
        <v>266</v>
      </c>
    </row>
    <row r="10" customFormat="false" ht="30" hidden="false" customHeight="true" outlineLevel="0" collapsed="false">
      <c r="A10" s="48" t="s">
        <v>185</v>
      </c>
      <c r="B10" s="7" t="s">
        <v>174</v>
      </c>
      <c r="C10" s="7" t="s">
        <v>186</v>
      </c>
      <c r="D10" s="49" t="s">
        <v>151</v>
      </c>
      <c r="E10" s="49" t="s">
        <v>20</v>
      </c>
      <c r="F10" s="49" t="s">
        <v>187</v>
      </c>
      <c r="G10" s="49" t="n">
        <v>1</v>
      </c>
      <c r="H10" s="7" t="s">
        <v>267</v>
      </c>
    </row>
    <row r="11" customFormat="false" ht="30" hidden="false" customHeight="true" outlineLevel="0" collapsed="false">
      <c r="A11" s="46" t="s">
        <v>205</v>
      </c>
      <c r="B11" s="5" t="s">
        <v>197</v>
      </c>
      <c r="C11" s="5" t="s">
        <v>206</v>
      </c>
      <c r="D11" s="47" t="s">
        <v>199</v>
      </c>
      <c r="E11" s="47" t="s">
        <v>26</v>
      </c>
      <c r="F11" s="47" t="s">
        <v>196</v>
      </c>
      <c r="G11" s="47" t="n">
        <v>1</v>
      </c>
      <c r="H11" s="5" t="s">
        <v>268</v>
      </c>
    </row>
    <row r="12" customFormat="false" ht="30" hidden="false" customHeight="true" outlineLevel="0" collapsed="false">
      <c r="A12" s="48" t="s">
        <v>216</v>
      </c>
      <c r="B12" s="7" t="s">
        <v>208</v>
      </c>
      <c r="C12" s="7" t="s">
        <v>217</v>
      </c>
      <c r="D12" s="49" t="s">
        <v>199</v>
      </c>
      <c r="E12" s="49" t="s">
        <v>26</v>
      </c>
      <c r="F12" s="49" t="s">
        <v>196</v>
      </c>
      <c r="G12" s="49" t="n">
        <v>2</v>
      </c>
      <c r="H12" s="7" t="s">
        <v>269</v>
      </c>
    </row>
    <row r="14" customFormat="false" ht="15" hidden="false" customHeight="false" outlineLevel="0" collapsed="false">
      <c r="A14" s="50" t="s">
        <v>239</v>
      </c>
    </row>
    <row r="15" customFormat="false" ht="23.85" hidden="false" customHeight="false" outlineLevel="0" collapsed="false">
      <c r="A15" s="3" t="s">
        <v>79</v>
      </c>
      <c r="B15" s="3" t="s">
        <v>81</v>
      </c>
      <c r="C15" s="3" t="s">
        <v>45</v>
      </c>
      <c r="D15" s="3" t="s">
        <v>47</v>
      </c>
    </row>
    <row r="16" customFormat="false" ht="25.5" hidden="false" customHeight="true" outlineLevel="0" collapsed="false">
      <c r="A16" s="47" t="s">
        <v>88</v>
      </c>
      <c r="B16" s="5" t="s">
        <v>90</v>
      </c>
      <c r="C16" s="47" t="s">
        <v>8</v>
      </c>
      <c r="D16" s="47" t="s">
        <v>92</v>
      </c>
    </row>
    <row r="17" customFormat="false" ht="25.5" hidden="false" customHeight="true" outlineLevel="0" collapsed="false">
      <c r="A17" s="49" t="s">
        <v>99</v>
      </c>
      <c r="B17" s="7" t="s">
        <v>100</v>
      </c>
      <c r="C17" s="49" t="s">
        <v>32</v>
      </c>
      <c r="D17" s="49" t="s">
        <v>92</v>
      </c>
    </row>
    <row r="18" customFormat="false" ht="25.5" hidden="false" customHeight="true" outlineLevel="0" collapsed="false">
      <c r="A18" s="47" t="s">
        <v>108</v>
      </c>
      <c r="B18" s="5" t="s">
        <v>109</v>
      </c>
      <c r="C18" s="47" t="s">
        <v>14</v>
      </c>
      <c r="D18" s="47" t="s">
        <v>92</v>
      </c>
    </row>
    <row r="19" customFormat="false" ht="25.5" hidden="false" customHeight="true" outlineLevel="0" collapsed="false">
      <c r="A19" s="49" t="s">
        <v>116</v>
      </c>
      <c r="B19" s="7" t="s">
        <v>118</v>
      </c>
      <c r="C19" s="49" t="s">
        <v>14</v>
      </c>
      <c r="D19" s="49" t="s">
        <v>92</v>
      </c>
    </row>
    <row r="20" customFormat="false" ht="25.5" hidden="false" customHeight="true" outlineLevel="0" collapsed="false">
      <c r="A20" s="47" t="s">
        <v>165</v>
      </c>
      <c r="B20" s="5" t="s">
        <v>166</v>
      </c>
      <c r="C20" s="47" t="s">
        <v>8</v>
      </c>
      <c r="D20" s="47" t="s">
        <v>151</v>
      </c>
    </row>
    <row r="21" customFormat="false" ht="25.5" hidden="false" customHeight="true" outlineLevel="0" collapsed="false">
      <c r="A21" s="49" t="s">
        <v>167</v>
      </c>
      <c r="B21" s="7" t="s">
        <v>168</v>
      </c>
      <c r="C21" s="49" t="s">
        <v>14</v>
      </c>
      <c r="D21" s="49" t="s">
        <v>151</v>
      </c>
    </row>
    <row r="22" customFormat="false" ht="25.5" hidden="false" customHeight="true" outlineLevel="0" collapsed="false">
      <c r="A22" s="47" t="s">
        <v>169</v>
      </c>
      <c r="B22" s="5" t="s">
        <v>170</v>
      </c>
      <c r="C22" s="47" t="s">
        <v>20</v>
      </c>
      <c r="D22" s="47" t="s">
        <v>151</v>
      </c>
    </row>
    <row r="23" customFormat="false" ht="25.5" hidden="false" customHeight="true" outlineLevel="0" collapsed="false">
      <c r="A23" s="49" t="s">
        <v>214</v>
      </c>
      <c r="B23" s="7" t="s">
        <v>215</v>
      </c>
      <c r="C23" s="49" t="s">
        <v>32</v>
      </c>
      <c r="D23" s="49" t="s">
        <v>199</v>
      </c>
    </row>
    <row r="24" customFormat="false" ht="25.5" hidden="false" customHeight="true" outlineLevel="0" collapsed="false">
      <c r="A24" s="47" t="s">
        <v>220</v>
      </c>
      <c r="B24" s="5" t="s">
        <v>221</v>
      </c>
      <c r="C24" s="47" t="s">
        <v>20</v>
      </c>
      <c r="D24" s="47" t="s">
        <v>199</v>
      </c>
    </row>
    <row r="25" customFormat="false" ht="25.5" hidden="false" customHeight="true" outlineLevel="0" collapsed="false">
      <c r="A25" s="49" t="s">
        <v>222</v>
      </c>
      <c r="B25" s="7" t="s">
        <v>223</v>
      </c>
      <c r="C25" s="49" t="s">
        <v>8</v>
      </c>
      <c r="D25" s="49" t="s">
        <v>210</v>
      </c>
    </row>
    <row r="26" customFormat="false" ht="25.5" hidden="false" customHeight="true" outlineLevel="0" collapsed="false">
      <c r="A26" s="47" t="s">
        <v>224</v>
      </c>
      <c r="B26" s="5" t="s">
        <v>225</v>
      </c>
      <c r="C26" s="47" t="s">
        <v>32</v>
      </c>
      <c r="D26" s="47" t="s">
        <v>199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33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99</v>
      </c>
      <c r="B5" s="5" t="s">
        <v>89</v>
      </c>
      <c r="C5" s="5" t="s">
        <v>100</v>
      </c>
      <c r="D5" s="47" t="s">
        <v>92</v>
      </c>
      <c r="E5" s="47" t="s">
        <v>57</v>
      </c>
      <c r="F5" s="47" t="s">
        <v>88</v>
      </c>
      <c r="G5" s="47" t="n">
        <v>1</v>
      </c>
      <c r="H5" s="5" t="s">
        <v>270</v>
      </c>
    </row>
    <row r="6" customFormat="false" ht="30" hidden="false" customHeight="true" outlineLevel="0" collapsed="false">
      <c r="A6" s="48" t="s">
        <v>113</v>
      </c>
      <c r="B6" s="7" t="s">
        <v>102</v>
      </c>
      <c r="C6" s="7" t="s">
        <v>114</v>
      </c>
      <c r="D6" s="49" t="s">
        <v>115</v>
      </c>
      <c r="E6" s="49" t="s">
        <v>8</v>
      </c>
      <c r="F6" s="49" t="s">
        <v>104</v>
      </c>
      <c r="G6" s="49" t="n">
        <v>2</v>
      </c>
      <c r="H6" s="7" t="s">
        <v>271</v>
      </c>
    </row>
    <row r="7" customFormat="false" ht="30" hidden="false" customHeight="true" outlineLevel="0" collapsed="false">
      <c r="A7" s="46" t="s">
        <v>119</v>
      </c>
      <c r="B7" s="5" t="s">
        <v>120</v>
      </c>
      <c r="C7" s="5" t="s">
        <v>121</v>
      </c>
      <c r="D7" s="47" t="s">
        <v>115</v>
      </c>
      <c r="E7" s="47" t="s">
        <v>57</v>
      </c>
      <c r="F7" s="47" t="s">
        <v>110</v>
      </c>
      <c r="G7" s="47" t="n">
        <v>1</v>
      </c>
      <c r="H7" s="5" t="s">
        <v>272</v>
      </c>
    </row>
    <row r="8" customFormat="false" ht="30" hidden="false" customHeight="true" outlineLevel="0" collapsed="false">
      <c r="A8" s="48" t="s">
        <v>140</v>
      </c>
      <c r="B8" s="7" t="s">
        <v>141</v>
      </c>
      <c r="C8" s="7" t="s">
        <v>142</v>
      </c>
      <c r="D8" s="49" t="s">
        <v>124</v>
      </c>
      <c r="E8" s="49" t="s">
        <v>8</v>
      </c>
      <c r="F8" s="49" t="s">
        <v>104</v>
      </c>
      <c r="G8" s="49" t="n">
        <v>2</v>
      </c>
      <c r="H8" s="7" t="s">
        <v>273</v>
      </c>
    </row>
    <row r="9" customFormat="false" ht="30" hidden="false" customHeight="true" outlineLevel="0" collapsed="false">
      <c r="A9" s="46" t="s">
        <v>143</v>
      </c>
      <c r="B9" s="5" t="s">
        <v>141</v>
      </c>
      <c r="C9" s="5" t="s">
        <v>144</v>
      </c>
      <c r="D9" s="47" t="s">
        <v>145</v>
      </c>
      <c r="E9" s="47" t="s">
        <v>8</v>
      </c>
      <c r="F9" s="47" t="s">
        <v>140</v>
      </c>
      <c r="G9" s="47" t="n">
        <v>1</v>
      </c>
      <c r="H9" s="5" t="s">
        <v>274</v>
      </c>
    </row>
    <row r="10" customFormat="false" ht="30" hidden="false" customHeight="true" outlineLevel="0" collapsed="false">
      <c r="A10" s="48" t="s">
        <v>146</v>
      </c>
      <c r="B10" s="7" t="s">
        <v>147</v>
      </c>
      <c r="C10" s="51" t="s">
        <v>148</v>
      </c>
      <c r="D10" s="49" t="s">
        <v>145</v>
      </c>
      <c r="E10" s="49" t="s">
        <v>14</v>
      </c>
      <c r="F10" s="49" t="s">
        <v>93</v>
      </c>
      <c r="G10" s="49" t="n">
        <v>1</v>
      </c>
      <c r="H10" s="7" t="s">
        <v>275</v>
      </c>
    </row>
    <row r="11" customFormat="false" ht="30" hidden="false" customHeight="true" outlineLevel="0" collapsed="false">
      <c r="A11" s="46" t="s">
        <v>173</v>
      </c>
      <c r="B11" s="5" t="s">
        <v>174</v>
      </c>
      <c r="C11" s="5" t="s">
        <v>175</v>
      </c>
      <c r="D11" s="47" t="s">
        <v>151</v>
      </c>
      <c r="E11" s="47" t="s">
        <v>20</v>
      </c>
      <c r="F11" s="47" t="s">
        <v>113</v>
      </c>
      <c r="G11" s="47" t="n">
        <v>1</v>
      </c>
      <c r="H11" s="5" t="s">
        <v>276</v>
      </c>
    </row>
    <row r="12" customFormat="false" ht="30" hidden="false" customHeight="true" outlineLevel="0" collapsed="false">
      <c r="A12" s="48" t="s">
        <v>188</v>
      </c>
      <c r="B12" s="7" t="s">
        <v>174</v>
      </c>
      <c r="C12" s="7" t="s">
        <v>189</v>
      </c>
      <c r="D12" s="49" t="s">
        <v>151</v>
      </c>
      <c r="E12" s="49" t="s">
        <v>20</v>
      </c>
      <c r="F12" s="49" t="s">
        <v>143</v>
      </c>
      <c r="G12" s="49" t="n">
        <v>2</v>
      </c>
      <c r="H12" s="7" t="s">
        <v>277</v>
      </c>
    </row>
    <row r="13" customFormat="false" ht="30" hidden="false" customHeight="true" outlineLevel="0" collapsed="false">
      <c r="A13" s="46" t="s">
        <v>196</v>
      </c>
      <c r="B13" s="5" t="s">
        <v>197</v>
      </c>
      <c r="C13" s="5" t="s">
        <v>198</v>
      </c>
      <c r="D13" s="47" t="s">
        <v>199</v>
      </c>
      <c r="E13" s="47" t="s">
        <v>26</v>
      </c>
      <c r="F13" s="47" t="s">
        <v>200</v>
      </c>
      <c r="G13" s="47" t="n">
        <v>1</v>
      </c>
      <c r="H13" s="5" t="s">
        <v>278</v>
      </c>
    </row>
    <row r="14" customFormat="false" ht="30" hidden="false" customHeight="true" outlineLevel="0" collapsed="false">
      <c r="A14" s="48" t="s">
        <v>201</v>
      </c>
      <c r="B14" s="7" t="s">
        <v>197</v>
      </c>
      <c r="C14" s="7" t="s">
        <v>202</v>
      </c>
      <c r="D14" s="49" t="s">
        <v>199</v>
      </c>
      <c r="E14" s="49" t="s">
        <v>26</v>
      </c>
      <c r="F14" s="49" t="s">
        <v>196</v>
      </c>
      <c r="G14" s="49" t="n">
        <v>1</v>
      </c>
      <c r="H14" s="7" t="s">
        <v>279</v>
      </c>
    </row>
    <row r="15" customFormat="false" ht="30" hidden="false" customHeight="true" outlineLevel="0" collapsed="false">
      <c r="A15" s="46" t="s">
        <v>214</v>
      </c>
      <c r="B15" s="5" t="s">
        <v>208</v>
      </c>
      <c r="C15" s="5" t="s">
        <v>215</v>
      </c>
      <c r="D15" s="47" t="s">
        <v>199</v>
      </c>
      <c r="E15" s="47" t="s">
        <v>26</v>
      </c>
      <c r="F15" s="47" t="s">
        <v>196</v>
      </c>
      <c r="G15" s="47" t="n">
        <v>2</v>
      </c>
      <c r="H15" s="5" t="s">
        <v>280</v>
      </c>
    </row>
    <row r="16" customFormat="false" ht="30" hidden="false" customHeight="true" outlineLevel="0" collapsed="false">
      <c r="A16" s="48" t="s">
        <v>224</v>
      </c>
      <c r="B16" s="7" t="s">
        <v>208</v>
      </c>
      <c r="C16" s="51" t="s">
        <v>225</v>
      </c>
      <c r="D16" s="49" t="s">
        <v>199</v>
      </c>
      <c r="E16" s="49" t="s">
        <v>26</v>
      </c>
      <c r="F16" s="49" t="s">
        <v>226</v>
      </c>
      <c r="G16" s="49" t="n">
        <v>1</v>
      </c>
      <c r="H16" s="7" t="s">
        <v>281</v>
      </c>
    </row>
    <row r="18" customFormat="false" ht="15" hidden="false" customHeight="false" outlineLevel="0" collapsed="false">
      <c r="A18" s="50" t="s">
        <v>239</v>
      </c>
    </row>
    <row r="19" customFormat="false" ht="23.85" hidden="false" customHeight="false" outlineLevel="0" collapsed="false">
      <c r="A19" s="3" t="s">
        <v>79</v>
      </c>
      <c r="B19" s="3" t="s">
        <v>81</v>
      </c>
      <c r="C19" s="3" t="s">
        <v>45</v>
      </c>
      <c r="D19" s="3" t="s">
        <v>47</v>
      </c>
    </row>
    <row r="20" customFormat="false" ht="25.5" hidden="false" customHeight="true" outlineLevel="0" collapsed="false">
      <c r="A20" s="47" t="s">
        <v>88</v>
      </c>
      <c r="B20" s="5" t="s">
        <v>90</v>
      </c>
      <c r="C20" s="47" t="s">
        <v>8</v>
      </c>
      <c r="D20" s="47" t="s">
        <v>92</v>
      </c>
    </row>
    <row r="21" customFormat="false" ht="25.5" hidden="false" customHeight="true" outlineLevel="0" collapsed="false">
      <c r="A21" s="49" t="s">
        <v>95</v>
      </c>
      <c r="B21" s="7" t="s">
        <v>96</v>
      </c>
      <c r="C21" s="49" t="s">
        <v>8</v>
      </c>
      <c r="D21" s="49" t="s">
        <v>92</v>
      </c>
    </row>
    <row r="22" customFormat="false" ht="25.5" hidden="false" customHeight="true" outlineLevel="0" collapsed="false">
      <c r="A22" s="49" t="s">
        <v>106</v>
      </c>
      <c r="B22" s="7" t="s">
        <v>107</v>
      </c>
      <c r="C22" s="49" t="s">
        <v>14</v>
      </c>
      <c r="D22" s="49" t="s">
        <v>92</v>
      </c>
    </row>
    <row r="23" customFormat="false" ht="25.5" hidden="false" customHeight="true" outlineLevel="0" collapsed="false">
      <c r="A23" s="47" t="s">
        <v>116</v>
      </c>
      <c r="B23" s="5" t="s">
        <v>118</v>
      </c>
      <c r="C23" s="47" t="s">
        <v>14</v>
      </c>
      <c r="D23" s="47" t="s">
        <v>92</v>
      </c>
    </row>
    <row r="24" customFormat="false" ht="25.5" hidden="false" customHeight="true" outlineLevel="0" collapsed="false">
      <c r="A24" s="49" t="s">
        <v>149</v>
      </c>
      <c r="B24" s="7" t="s">
        <v>150</v>
      </c>
      <c r="C24" s="49" t="s">
        <v>8</v>
      </c>
      <c r="D24" s="49" t="s">
        <v>151</v>
      </c>
    </row>
    <row r="25" customFormat="false" ht="25.5" hidden="false" customHeight="true" outlineLevel="0" collapsed="false">
      <c r="A25" s="47" t="s">
        <v>153</v>
      </c>
      <c r="B25" s="5" t="s">
        <v>154</v>
      </c>
      <c r="C25" s="47" t="s">
        <v>14</v>
      </c>
      <c r="D25" s="47" t="s">
        <v>151</v>
      </c>
    </row>
    <row r="26" customFormat="false" ht="25.5" hidden="false" customHeight="true" outlineLevel="0" collapsed="false">
      <c r="A26" s="49" t="s">
        <v>156</v>
      </c>
      <c r="B26" s="7" t="s">
        <v>157</v>
      </c>
      <c r="C26" s="49" t="s">
        <v>20</v>
      </c>
      <c r="D26" s="49" t="s">
        <v>151</v>
      </c>
    </row>
    <row r="27" customFormat="false" ht="25.5" hidden="false" customHeight="true" outlineLevel="0" collapsed="false">
      <c r="A27" s="47" t="s">
        <v>159</v>
      </c>
      <c r="B27" s="5" t="s">
        <v>160</v>
      </c>
      <c r="C27" s="47" t="s">
        <v>26</v>
      </c>
      <c r="D27" s="47" t="s">
        <v>151</v>
      </c>
    </row>
    <row r="28" customFormat="false" ht="25.5" hidden="false" customHeight="true" outlineLevel="0" collapsed="false">
      <c r="A28" s="49" t="s">
        <v>176</v>
      </c>
      <c r="B28" s="7" t="s">
        <v>177</v>
      </c>
      <c r="C28" s="49" t="s">
        <v>8</v>
      </c>
      <c r="D28" s="49" t="s">
        <v>151</v>
      </c>
    </row>
    <row r="29" customFormat="false" ht="25.5" hidden="false" customHeight="true" outlineLevel="0" collapsed="false">
      <c r="A29" s="47" t="s">
        <v>179</v>
      </c>
      <c r="B29" s="5" t="s">
        <v>180</v>
      </c>
      <c r="C29" s="47" t="s">
        <v>14</v>
      </c>
      <c r="D29" s="47" t="s">
        <v>151</v>
      </c>
    </row>
    <row r="30" customFormat="false" ht="25.5" hidden="false" customHeight="true" outlineLevel="0" collapsed="false">
      <c r="A30" s="49" t="s">
        <v>182</v>
      </c>
      <c r="B30" s="7" t="s">
        <v>183</v>
      </c>
      <c r="C30" s="49" t="s">
        <v>20</v>
      </c>
      <c r="D30" s="49" t="s">
        <v>151</v>
      </c>
    </row>
    <row r="31" customFormat="false" ht="25.5" hidden="false" customHeight="true" outlineLevel="0" collapsed="false">
      <c r="A31" s="47" t="s">
        <v>185</v>
      </c>
      <c r="B31" s="5" t="s">
        <v>186</v>
      </c>
      <c r="C31" s="47" t="s">
        <v>26</v>
      </c>
      <c r="D31" s="47" t="s">
        <v>151</v>
      </c>
    </row>
    <row r="32" customFormat="false" ht="25.5" hidden="false" customHeight="true" outlineLevel="0" collapsed="false">
      <c r="A32" s="49" t="s">
        <v>190</v>
      </c>
      <c r="B32" s="7" t="s">
        <v>192</v>
      </c>
      <c r="C32" s="49" t="s">
        <v>20</v>
      </c>
      <c r="D32" s="49" t="s">
        <v>151</v>
      </c>
    </row>
    <row r="33" customFormat="false" ht="25.5" hidden="false" customHeight="true" outlineLevel="0" collapsed="false">
      <c r="A33" s="47" t="s">
        <v>193</v>
      </c>
      <c r="B33" s="5" t="s">
        <v>194</v>
      </c>
      <c r="C33" s="47" t="s">
        <v>20</v>
      </c>
      <c r="D33" s="47" t="s">
        <v>151</v>
      </c>
    </row>
    <row r="34" customFormat="false" ht="25.5" hidden="false" customHeight="true" outlineLevel="0" collapsed="false">
      <c r="A34" s="49" t="s">
        <v>203</v>
      </c>
      <c r="B34" s="7" t="s">
        <v>204</v>
      </c>
      <c r="C34" s="49" t="s">
        <v>20</v>
      </c>
      <c r="D34" s="49" t="s">
        <v>199</v>
      </c>
    </row>
    <row r="35" customFormat="false" ht="25.5" hidden="false" customHeight="true" outlineLevel="0" collapsed="false">
      <c r="A35" s="47" t="s">
        <v>207</v>
      </c>
      <c r="B35" s="5" t="s">
        <v>209</v>
      </c>
      <c r="C35" s="47" t="s">
        <v>8</v>
      </c>
      <c r="D35" s="47" t="s">
        <v>210</v>
      </c>
    </row>
    <row r="36" customFormat="false" ht="25.5" hidden="false" customHeight="true" outlineLevel="0" collapsed="false">
      <c r="A36" s="47" t="s">
        <v>216</v>
      </c>
      <c r="B36" s="5" t="s">
        <v>217</v>
      </c>
      <c r="C36" s="47" t="s">
        <v>26</v>
      </c>
      <c r="D36" s="47" t="s">
        <v>199</v>
      </c>
    </row>
    <row r="37" customFormat="false" ht="25.5" hidden="false" customHeight="true" outlineLevel="0" collapsed="false">
      <c r="A37" s="49" t="s">
        <v>218</v>
      </c>
      <c r="B37" s="7" t="s">
        <v>219</v>
      </c>
      <c r="C37" s="49" t="s">
        <v>8</v>
      </c>
      <c r="D37" s="49" t="s">
        <v>199</v>
      </c>
    </row>
    <row r="38" customFormat="false" ht="25.5" hidden="false" customHeight="true" outlineLevel="0" collapsed="false">
      <c r="A38" s="47" t="s">
        <v>220</v>
      </c>
      <c r="B38" s="5" t="s">
        <v>221</v>
      </c>
      <c r="C38" s="47" t="s">
        <v>20</v>
      </c>
      <c r="D38" s="47" t="s">
        <v>199</v>
      </c>
    </row>
    <row r="39" customFormat="false" ht="25.5" hidden="false" customHeight="true" outlineLevel="0" collapsed="false">
      <c r="A39" s="49" t="s">
        <v>222</v>
      </c>
      <c r="B39" s="7" t="s">
        <v>223</v>
      </c>
      <c r="C39" s="49" t="s">
        <v>8</v>
      </c>
      <c r="D39" s="49" t="s">
        <v>210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</cols>
  <sheetData>
    <row r="1" customFormat="false" ht="25.5" hidden="false" customHeight="true" outlineLevel="0" collapsed="false">
      <c r="A1" s="1" t="s">
        <v>282</v>
      </c>
      <c r="B1" s="1"/>
      <c r="C1" s="1"/>
      <c r="D1" s="1"/>
    </row>
    <row r="3" customFormat="false" ht="15" hidden="false" customHeight="false" outlineLevel="0" collapsed="false">
      <c r="A3" s="53" t="s">
        <v>283</v>
      </c>
      <c r="B3" s="54" t="n">
        <f aca="false">COUNTA('Master Task List'!$A$4:$A$55)</f>
        <v>52</v>
      </c>
    </row>
    <row r="4" customFormat="false" ht="15" hidden="false" customHeight="false" outlineLevel="0" collapsed="false">
      <c r="A4" s="53" t="s">
        <v>94</v>
      </c>
      <c r="B4" s="54" t="n">
        <f aca="false">COUNTIF('Master Task List'!$J$4:$J$55,"Not started")</f>
        <v>52</v>
      </c>
    </row>
    <row r="5" customFormat="false" ht="15" hidden="false" customHeight="false" outlineLevel="0" collapsed="false">
      <c r="A5" s="53" t="s">
        <v>284</v>
      </c>
      <c r="B5" s="54" t="n">
        <f aca="false">COUNTIF('Master Task List'!$J$4:$J$55,"In progress")</f>
        <v>0</v>
      </c>
    </row>
    <row r="6" customFormat="false" ht="15" hidden="false" customHeight="false" outlineLevel="0" collapsed="false">
      <c r="A6" s="53" t="s">
        <v>285</v>
      </c>
      <c r="B6" s="54" t="n">
        <f aca="false">COUNTIF('Master Task List'!$J$4:$J$55,"Blocked")</f>
        <v>0</v>
      </c>
    </row>
    <row r="7" customFormat="false" ht="15" hidden="false" customHeight="false" outlineLevel="0" collapsed="false">
      <c r="A7" s="53" t="s">
        <v>286</v>
      </c>
      <c r="B7" s="54" t="n">
        <f aca="false">COUNTIF('Master Task List'!$J$4:$J$55,"Done")</f>
        <v>0</v>
      </c>
    </row>
    <row r="8" customFormat="false" ht="15" hidden="false" customHeight="false" outlineLevel="0" collapsed="false">
      <c r="A8" s="53" t="s">
        <v>287</v>
      </c>
      <c r="B8" s="55" t="n">
        <f aca="false">IFERROR(COUNTIF('Master Task List'!$J$4:$J$55,"Done")/COUNTA('Master Task List'!$A$4:$A$55),0)</f>
        <v>0</v>
      </c>
    </row>
    <row r="10" customFormat="false" ht="15" hidden="false" customHeight="false" outlineLevel="0" collapsed="false">
      <c r="A10" s="50" t="s">
        <v>288</v>
      </c>
    </row>
    <row r="11" customFormat="false" ht="15" hidden="false" customHeight="false" outlineLevel="0" collapsed="false">
      <c r="A11" s="3" t="s">
        <v>289</v>
      </c>
      <c r="B11" s="3" t="s">
        <v>290</v>
      </c>
      <c r="C11" s="3" t="s">
        <v>286</v>
      </c>
    </row>
    <row r="12" customFormat="false" ht="15" hidden="false" customHeight="false" outlineLevel="0" collapsed="false">
      <c r="A12" s="56" t="s">
        <v>8</v>
      </c>
      <c r="B12" s="47" t="n">
        <f aca="false">COUNTIF('Master Task List'!$D$4:$D$55,"M1")</f>
        <v>10</v>
      </c>
      <c r="C12" s="47" t="n">
        <f aca="false">COUNTIFS('Master Task List'!$D$4:$D$55,"M1",'Master Task List'!$J$4:$J$55,"Done")</f>
        <v>0</v>
      </c>
    </row>
    <row r="13" customFormat="false" ht="15" hidden="false" customHeight="false" outlineLevel="0" collapsed="false">
      <c r="A13" s="57" t="s">
        <v>14</v>
      </c>
      <c r="B13" s="49" t="n">
        <f aca="false">COUNTIF('Master Task List'!$D$4:$D$55,"M2")</f>
        <v>12</v>
      </c>
      <c r="C13" s="49" t="n">
        <f aca="false">COUNTIFS('Master Task List'!$D$4:$D$55,"M2",'Master Task List'!$J$4:$J$55,"Done")</f>
        <v>0</v>
      </c>
    </row>
    <row r="14" customFormat="false" ht="15" hidden="false" customHeight="false" outlineLevel="0" collapsed="false">
      <c r="A14" s="56" t="s">
        <v>20</v>
      </c>
      <c r="B14" s="47" t="n">
        <f aca="false">COUNTIF('Master Task List'!$D$4:$D$55,"M3")</f>
        <v>10</v>
      </c>
      <c r="C14" s="47" t="n">
        <f aca="false">COUNTIFS('Master Task List'!$D$4:$D$55,"M3",'Master Task List'!$J$4:$J$55,"Done")</f>
        <v>0</v>
      </c>
    </row>
    <row r="15" customFormat="false" ht="15" hidden="false" customHeight="false" outlineLevel="0" collapsed="false">
      <c r="A15" s="57" t="s">
        <v>26</v>
      </c>
      <c r="B15" s="49" t="n">
        <f aca="false">COUNTIF('Master Task List'!$D$4:$D$55,"M4")</f>
        <v>8</v>
      </c>
      <c r="C15" s="49" t="n">
        <f aca="false">COUNTIFS('Master Task List'!$D$4:$D$55,"M4",'Master Task List'!$J$4:$J$55,"Done")</f>
        <v>0</v>
      </c>
    </row>
    <row r="16" customFormat="false" ht="15" hidden="false" customHeight="false" outlineLevel="0" collapsed="false">
      <c r="A16" s="56" t="s">
        <v>32</v>
      </c>
      <c r="B16" s="47" t="n">
        <f aca="false">COUNTIF('Master Task List'!$D$4:$D$55,"M5")</f>
        <v>12</v>
      </c>
      <c r="C16" s="47" t="n">
        <f aca="false">COUNTIFS('Master Task List'!$D$4:$D$55,"M5",'Master Task List'!$J$4:$J$55,"Done")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2026-07-22T07:33:40Z</dcterms:created>
  <dc:creator>openpyxl</dc:creator>
  <dc:description/>
  <dc:language>en-US</dc:language>
  <cp:lastModifiedBy/>
  <dcterms:modified xsi:type="dcterms:W3CDTF">2026-07-22T07:33:40Z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