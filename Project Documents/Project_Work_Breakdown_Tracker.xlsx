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ster &amp; Legend" sheetId="1" state="visible" r:id="rId3"/>
    <sheet name="Milestones &amp; Gates" sheetId="2" state="visible" r:id="rId4"/>
    <sheet name="Master Task List" sheetId="3" state="visible" r:id="rId5"/>
    <sheet name="M1 Board" sheetId="4" state="visible" r:id="rId6"/>
    <sheet name="M2 Board" sheetId="5" state="visible" r:id="rId7"/>
    <sheet name="M3 Board" sheetId="6" state="visible" r:id="rId8"/>
    <sheet name="M4 Board" sheetId="7" state="visible" r:id="rId9"/>
    <sheet name="M5 Board" sheetId="8" state="visible" r:id="rId10"/>
    <sheet name="Dashboar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<sst xmlns="http://schemas.openxmlformats.org/spreadsheetml/2006/main" count="1299" uniqueCount="299">
  <si>
    <t xml:space="preserve">PROJECT ROSTER  —  Efficient, Shortcut-Resistant &amp; Explainable CNN for Chest X-ray (5-member team)</t>
  </si>
  <si>
    <t xml:space="preserve">Every member trains/fits at least one model (ML task) AND owns a framework stage AND paper sections. No pretrained models — all trained from scratch.</t>
  </si>
  <si>
    <t xml:space="preserve">Code</t>
  </si>
  <si>
    <t xml:space="preserve">Member / Role</t>
  </si>
  <si>
    <t xml:space="preserve">Hands-on ML task (trains/fits a model)</t>
  </si>
  <si>
    <t xml:space="preserve">Framework stage owned</t>
  </si>
  <si>
    <t xml:space="preserve">Paper Sections</t>
  </si>
  <si>
    <t xml:space="preserve">Key Deliverables</t>
  </si>
  <si>
    <t xml:space="preserve">M1</t>
  </si>
  <si>
    <t xml:space="preserve">Member 1 — Baseline CNN &amp; Reproducibility/Lit Lead</t>
  </si>
  <si>
    <t xml:space="preserve">Trains &amp; tunes the from-scratch baseline CNN</t>
  </si>
  <si>
    <t xml:space="preserve">Baseline model + repo/tracking/seeds</t>
  </si>
  <si>
    <t xml:space="preserve">Introduction, Related Work, Abstract</t>
  </si>
  <si>
    <t xml:space="preserve">Baseline model + tuning; reproducible repo; literature</t>
  </si>
  <si>
    <t xml:space="preserve">M2</t>
  </si>
  <si>
    <t xml:space="preserve">Member 2 — Data + Lung-Seg &amp; Recipe-Model Lead</t>
  </si>
  <si>
    <t xml:space="preserve">Trains a lung-segmentation U-Net + the shortcut-recipe model</t>
  </si>
  <si>
    <t xml:space="preserve">Data pipeline + preprocessing + recipe</t>
  </si>
  <si>
    <t xml:space="preserve">Dataset, Experimental Setup</t>
  </si>
  <si>
    <t xml:space="preserve">U-Net; pipeline; recipe-trained model</t>
  </si>
  <si>
    <t xml:space="preserve">M3</t>
  </si>
  <si>
    <t xml:space="preserve">Member 3 — LiteCXR-Net Architecture Lead</t>
  </si>
  <si>
    <t xml:space="preserve">Designs &amp; trains LiteCXR-Net (+ HP tuning)</t>
  </si>
  <si>
    <t xml:space="preserve">Proposed architecture + tuning</t>
  </si>
  <si>
    <t xml:space="preserve">Proposed Framework</t>
  </si>
  <si>
    <t xml:space="preserve">LiteCXR-Net; comparison; slides</t>
  </si>
  <si>
    <t xml:space="preserve">M4</t>
  </si>
  <si>
    <t xml:space="preserve">Member 4 — Ablation-Model &amp; Efficiency Lead</t>
  </si>
  <si>
    <t xml:space="preserve">Trains &amp; evaluates all ablation model variants</t>
  </si>
  <si>
    <t xml:space="preserve">Ablations + efficiency benchmark</t>
  </si>
  <si>
    <t xml:space="preserve">Experiments (efficiency, ablation)</t>
  </si>
  <si>
    <t xml:space="preserve">Ablation models; efficiency; figures</t>
  </si>
  <si>
    <t xml:space="preserve">M5</t>
  </si>
  <si>
    <t xml:space="preserve">Member 5 — Robustness, Calibration &amp; Explainability Lead</t>
  </si>
  <si>
    <t xml:space="preserve">Trains no-recipe control model + fits temperature-scaling calibration</t>
  </si>
  <si>
    <t xml:space="preserve">Robustness + calibration + XAI + assembly</t>
  </si>
  <si>
    <t xml:space="preserve">Results, Discussion, Conclusion</t>
  </si>
  <si>
    <t xml:space="preserve">Control model; OOD tests; calibration; XAI; paper</t>
  </si>
  <si>
    <t xml:space="preserve">LEGEND</t>
  </si>
  <si>
    <t xml:space="preserve">[ML] tasks</t>
  </si>
  <si>
    <t xml:space="preserve">Tasks marked [ML] in the Master Task List involve training or fitting a model. Every member owns at least one.</t>
  </si>
  <si>
    <t xml:space="preserve">Status values</t>
  </si>
  <si>
    <t xml:space="preserve">Not started  /  In progress  /  Blocked  /  Done  (dropdown in Master Task List, column J)</t>
  </si>
  <si>
    <t xml:space="preserve">Milestone codes</t>
  </si>
  <si>
    <t xml:space="preserve">M0 End W1 · M1 End W2 · M2 Mid W3 · M3 End W3 · M4 End W4 (see 'Milestones &amp; Gates' tab)</t>
  </si>
  <si>
    <t xml:space="preserve">[GATE]</t>
  </si>
  <si>
    <t xml:space="preserve">A checkpoint that blocks downstream work until signed off.</t>
  </si>
  <si>
    <t xml:space="preserve">Owner</t>
  </si>
  <si>
    <t xml:space="preserve">Person accountable (does the work). Support = assists / reviews (RACI).</t>
  </si>
  <si>
    <t xml:space="preserve">Rule §11</t>
  </si>
  <si>
    <t xml:space="preserve">Each member contributes to an identifiable DNN stage — a hands-on ML task, not just writing.</t>
  </si>
  <si>
    <t xml:space="preserve">MAIN MILESTONES &amp; GATES</t>
  </si>
  <si>
    <t xml:space="preserve">Milestone</t>
  </si>
  <si>
    <t xml:space="preserve">Due</t>
  </si>
  <si>
    <t xml:space="preserve">Name</t>
  </si>
  <si>
    <t xml:space="preserve">Gate criteria (must all be true to pass)</t>
  </si>
  <si>
    <t xml:space="preserve">Sign-off owner</t>
  </si>
  <si>
    <t xml:space="preserve">M0</t>
  </si>
  <si>
    <t xml:space="preserve">End of Week 1</t>
  </si>
  <si>
    <t xml:space="preserve">Baseline &amp; Pipeline Ready</t>
  </si>
  <si>
    <t xml:space="preserve">Data pipeline + lung-mask (U-Net) ready; from-scratch baseline CNN trains end-to-end; baseline HP tuning started. Feeds the ACM proposal.</t>
  </si>
  <si>
    <t xml:space="preserve">M2 / M1</t>
  </si>
  <si>
    <t xml:space="preserve">End of Week 2</t>
  </si>
  <si>
    <t xml:space="preserve">Proposed Model Trained</t>
  </si>
  <si>
    <t xml:space="preserve">Baseline fully evaluated (with HP tuning); LiteCXR-Net v1 trained; recipe-trained variant started; comparison complete.</t>
  </si>
  <si>
    <t xml:space="preserve">M1 / M3</t>
  </si>
  <si>
    <t xml:space="preserve">Mid Week 3</t>
  </si>
  <si>
    <t xml:space="preserve">Efficiency &amp; Ablations Done</t>
  </si>
  <si>
    <t xml:space="preserve">Computational analysis + all trained ablation variants + proposed-model HP tuning complete.</t>
  </si>
  <si>
    <t xml:space="preserve">M4 / M3</t>
  </si>
  <si>
    <t xml:space="preserve">End of Week 3</t>
  </si>
  <si>
    <t xml:space="preserve">Robustness, XAI &amp; Calibration Done</t>
  </si>
  <si>
    <t xml:space="preserve">Control model trained; external/OOD robustness + Grad-CAM faithfulness + temperature-scaling calibration complete.</t>
  </si>
  <si>
    <t xml:space="preserve">End of Week 4</t>
  </si>
  <si>
    <t xml:space="preserve">Paper &amp; Slides Ready</t>
  </si>
  <si>
    <t xml:space="preserve">Consolidated results, Pareto trade-off, full paper draft, slides; reproducibility rerun passes.</t>
  </si>
  <si>
    <t xml:space="preserve">M1 / M5</t>
  </si>
  <si>
    <t xml:space="preserve">MASTER TASK LIST  —  single source of truth (update Status in column J).  [ML] = trains/fits a model</t>
  </si>
  <si>
    <t xml:space="preserve">ID</t>
  </si>
  <si>
    <t xml:space="preserve">Epic</t>
  </si>
  <si>
    <t xml:space="preserve">Task / Sub-issue</t>
  </si>
  <si>
    <t xml:space="preserve">Support</t>
  </si>
  <si>
    <t xml:space="preserve">Week</t>
  </si>
  <si>
    <t xml:space="preserve">M.stone</t>
  </si>
  <si>
    <t xml:space="preserve">Depends on</t>
  </si>
  <si>
    <t xml:space="preserve">Est. days</t>
  </si>
  <si>
    <t xml:space="preserve">Status</t>
  </si>
  <si>
    <t xml:space="preserve">Notes</t>
  </si>
  <si>
    <t xml:space="preserve">T01</t>
  </si>
  <si>
    <t xml:space="preserve">0 Setup</t>
  </si>
  <si>
    <t xml:space="preserve">Create GitHub repo, branch strategy &amp; folder layout (data/ src/ notebooks/ results/ paper/)</t>
  </si>
  <si>
    <t xml:space="preserve">All</t>
  </si>
  <si>
    <t xml:space="preserve">W1</t>
  </si>
  <si>
    <t xml:space="preserve">-</t>
  </si>
  <si>
    <t xml:space="preserve">Not started</t>
  </si>
  <si>
    <t xml:space="preserve">T02</t>
  </si>
  <si>
    <t xml:space="preserve">Set up experiment tracking (W&amp;B/TensorBoard) + fixed-seed reproducibility standard</t>
  </si>
  <si>
    <t xml:space="preserve">T03</t>
  </si>
  <si>
    <t xml:space="preserve">Compute setup: Colab/Kaggle GPU, requirements.txt, mixed-precision config</t>
  </si>
  <si>
    <t xml:space="preserve">T04</t>
  </si>
  <si>
    <t xml:space="preserve">Define shared config: image size (224 + 128 fast-mode), split ratios, metrics schema, checkpoint format</t>
  </si>
  <si>
    <t xml:space="preserve">T05</t>
  </si>
  <si>
    <t xml:space="preserve">1 Data</t>
  </si>
  <si>
    <t xml:space="preserve">Download COVID-19 Radiography dataset; integrity check; class-count EDA</t>
  </si>
  <si>
    <t xml:space="preserve">T06</t>
  </si>
  <si>
    <t xml:space="preserve">Preprocessing module (resize, grayscale-&gt;3ch, normalise)</t>
  </si>
  <si>
    <t xml:space="preserve">T07</t>
  </si>
  <si>
    <t xml:space="preserve">[ML] Train a lightweight lung-segmentation U-Net to generate lung masks</t>
  </si>
  <si>
    <t xml:space="preserve">W1-W2</t>
  </si>
  <si>
    <t xml:space="preserve">T08</t>
  </si>
  <si>
    <t xml:space="preserve">Augmentation module (rotation, flip, jitter, CLAHE, random erasing)</t>
  </si>
  <si>
    <t xml:space="preserve">T09</t>
  </si>
  <si>
    <t xml:space="preserve">Stratified 70/15/15 split (fixed seed) + saved index files</t>
  </si>
  <si>
    <t xml:space="preserve">T10</t>
  </si>
  <si>
    <t xml:space="preserve">Shared PyTorch DataLoader with class weights for imbalance</t>
  </si>
  <si>
    <t xml:space="preserve">T08,T09</t>
  </si>
  <si>
    <t xml:space="preserve">T11</t>
  </si>
  <si>
    <t xml:space="preserve">Prepare external / source-stratified robustness set (test only)</t>
  </si>
  <si>
    <t xml:space="preserve">T12</t>
  </si>
  <si>
    <t xml:space="preserve">2 Baseline</t>
  </si>
  <si>
    <t xml:space="preserve">Implement from-scratch baseline CNN (ResNet-18-style, NO pretrained weights)</t>
  </si>
  <si>
    <t xml:space="preserve">T13</t>
  </si>
  <si>
    <t xml:space="preserve">Shared training-loop template (from scratch)</t>
  </si>
  <si>
    <t xml:space="preserve">T14</t>
  </si>
  <si>
    <t xml:space="preserve">[ML] Train baseline CNN end-to-end to validate pipeline [GATE M0]</t>
  </si>
  <si>
    <t xml:space="preserve">T12,T13</t>
  </si>
  <si>
    <t xml:space="preserve">T15</t>
  </si>
  <si>
    <t xml:space="preserve">[ML] Baseline hyper-parameter tuning (LR, batch, weight decay, aug strength)</t>
  </si>
  <si>
    <t xml:space="preserve">W2</t>
  </si>
  <si>
    <t xml:space="preserve">T16</t>
  </si>
  <si>
    <t xml:space="preserve">Baseline full evaluation (accuracy, F1, AUROC, confusion matrix)</t>
  </si>
  <si>
    <t xml:space="preserve">T17</t>
  </si>
  <si>
    <t xml:space="preserve">3 LiteCXR</t>
  </si>
  <si>
    <t xml:space="preserve">Design LiteCXR-Net (depthwise-separable blocks + compact head)</t>
  </si>
  <si>
    <t xml:space="preserve">T18</t>
  </si>
  <si>
    <t xml:space="preserve">Add width-multiplier alpha control (0.5 / 0.75 / 1.0)</t>
  </si>
  <si>
    <t xml:space="preserve">T19</t>
  </si>
  <si>
    <t xml:space="preserve">Add lightweight channel-attention (SE-style) block</t>
  </si>
  <si>
    <t xml:space="preserve">T20</t>
  </si>
  <si>
    <t xml:space="preserve">[ML] Train LiteCXR-Net v1 from scratch</t>
  </si>
  <si>
    <t xml:space="preserve">T18,T19,T13</t>
  </si>
  <si>
    <t xml:space="preserve">T21</t>
  </si>
  <si>
    <t xml:space="preserve">Baseline vs LiteCXR-Net comparison (accuracy / F1 / AUROC)</t>
  </si>
  <si>
    <t xml:space="preserve">T20,T16</t>
  </si>
  <si>
    <t xml:space="preserve">T22</t>
  </si>
  <si>
    <t xml:space="preserve">4 Recipe</t>
  </si>
  <si>
    <t xml:space="preserve">[ML] Train LiteCXR-Net WITH the lung-focused shortcut-mitigation recipe</t>
  </si>
  <si>
    <t xml:space="preserve">T07,T20</t>
  </si>
  <si>
    <t xml:space="preserve">T23</t>
  </si>
  <si>
    <t xml:space="preserve">Tune augmentation / recipe strength for robustness</t>
  </si>
  <si>
    <t xml:space="preserve">W3</t>
  </si>
  <si>
    <t xml:space="preserve">T24</t>
  </si>
  <si>
    <t xml:space="preserve">[ML] (Optional) add &amp; train lightweight debiasing regulariser</t>
  </si>
  <si>
    <t xml:space="preserve">T25</t>
  </si>
  <si>
    <t xml:space="preserve">5 HP-Tune</t>
  </si>
  <si>
    <t xml:space="preserve">[ML] LiteCXR-Net hyper-parameter tuning (alpha, LR, batch, weight decay)</t>
  </si>
  <si>
    <t xml:space="preserve">T26</t>
  </si>
  <si>
    <t xml:space="preserve">6 Ablation</t>
  </si>
  <si>
    <t xml:space="preserve">[ML] Train &amp; evaluate ablation: depthwise-separable vs standard convolution</t>
  </si>
  <si>
    <t xml:space="preserve">T27</t>
  </si>
  <si>
    <t xml:space="preserve">[ML] Train &amp; evaluate ablation: with / without attention block</t>
  </si>
  <si>
    <t xml:space="preserve">T28</t>
  </si>
  <si>
    <t xml:space="preserve">[ML] Train &amp; evaluate ablation: with / without lung-focus recipe</t>
  </si>
  <si>
    <t xml:space="preserve">T29</t>
  </si>
  <si>
    <t xml:space="preserve">[ML] Train &amp; evaluate ablation: width-multiplier alpha sweep (0.5/0.75/1.0)</t>
  </si>
  <si>
    <t xml:space="preserve">T30</t>
  </si>
  <si>
    <t xml:space="preserve">7 Efficiency</t>
  </si>
  <si>
    <t xml:space="preserve">Efficiency harness (params, FLOPs, latency CPU/GPU, memory, training time) [GATE M2]</t>
  </si>
  <si>
    <t xml:space="preserve">T31</t>
  </si>
  <si>
    <t xml:space="preserve">Run computational analysis on baseline + LiteCXR-Net + alpha variants</t>
  </si>
  <si>
    <t xml:space="preserve">T30,T16</t>
  </si>
  <si>
    <t xml:space="preserve">T32</t>
  </si>
  <si>
    <t xml:space="preserve">Accuracy-efficiency trade-off (Pareto) curve</t>
  </si>
  <si>
    <t xml:space="preserve">W3-W4</t>
  </si>
  <si>
    <t xml:space="preserve">T33</t>
  </si>
  <si>
    <t xml:space="preserve">8 Robust</t>
  </si>
  <si>
    <t xml:space="preserve">External-test protocol (label mapping, OOD metrics)</t>
  </si>
  <si>
    <t xml:space="preserve">T34</t>
  </si>
  <si>
    <t xml:space="preserve">Baseline robustness test (internal vs external drop)</t>
  </si>
  <si>
    <t xml:space="preserve">T33,T16</t>
  </si>
  <si>
    <t xml:space="preserve">T35</t>
  </si>
  <si>
    <t xml:space="preserve">[ML] Train LiteCXR-Net control (NO recipe) for the robustness comparison</t>
  </si>
  <si>
    <t xml:space="preserve">T36</t>
  </si>
  <si>
    <t xml:space="preserve">LiteCXR-Net robustness test: recipe vs control (internal vs external drop)</t>
  </si>
  <si>
    <t xml:space="preserve">T33,T22,T35</t>
  </si>
  <si>
    <t xml:space="preserve">T37</t>
  </si>
  <si>
    <t xml:space="preserve">9 XAI</t>
  </si>
  <si>
    <t xml:space="preserve">Grad-CAM module (last convolutional layer) [GATE M3]</t>
  </si>
  <si>
    <t xml:space="preserve">T38</t>
  </si>
  <si>
    <t xml:space="preserve">Lung-localisation faithfulness score (mask-overlap metric)</t>
  </si>
  <si>
    <t xml:space="preserve">T37,T07</t>
  </si>
  <si>
    <t xml:space="preserve">T39</t>
  </si>
  <si>
    <t xml:space="preserve">Faithfulness + heatmaps: baseline vs LiteCXR-Net</t>
  </si>
  <si>
    <t xml:space="preserve">T38,T16</t>
  </si>
  <si>
    <t xml:space="preserve">T40</t>
  </si>
  <si>
    <t xml:space="preserve">10 Calib</t>
  </si>
  <si>
    <t xml:space="preserve">[ML] Fit temperature-scaling calibration (learned scalar) + reliability, baseline vs proposed</t>
  </si>
  <si>
    <t xml:space="preserve">T16,T20</t>
  </si>
  <si>
    <t xml:space="preserve">T41</t>
  </si>
  <si>
    <t xml:space="preserve">11 Analysis</t>
  </si>
  <si>
    <t xml:space="preserve">Consolidate all metrics into master results tables</t>
  </si>
  <si>
    <t xml:space="preserve">W4</t>
  </si>
  <si>
    <t xml:space="preserve">T31,T36,T39</t>
  </si>
  <si>
    <t xml:space="preserve">T42</t>
  </si>
  <si>
    <t xml:space="preserve">Statistical comparison (significance, confidence intervals)</t>
  </si>
  <si>
    <t xml:space="preserve">T43</t>
  </si>
  <si>
    <t xml:space="preserve">Generate all figures (curves, Pareto, heatmaps, reliability)</t>
  </si>
  <si>
    <t xml:space="preserve">T44</t>
  </si>
  <si>
    <t xml:space="preserve">12 Paper</t>
  </si>
  <si>
    <t xml:space="preserve">Introduction + Related Work</t>
  </si>
  <si>
    <t xml:space="preserve">W1-W4</t>
  </si>
  <si>
    <t xml:space="preserve">T45</t>
  </si>
  <si>
    <t xml:space="preserve">Dataset + Experimental Setup</t>
  </si>
  <si>
    <t xml:space="preserve">W2-W4</t>
  </si>
  <si>
    <t xml:space="preserve">T46</t>
  </si>
  <si>
    <t xml:space="preserve">Proposed Framework (LiteCXR-Net) section</t>
  </si>
  <si>
    <t xml:space="preserve">T47</t>
  </si>
  <si>
    <t xml:space="preserve">Experiments (efficiency + ablation) section</t>
  </si>
  <si>
    <t xml:space="preserve">T48</t>
  </si>
  <si>
    <t xml:space="preserve">Results + Discussion + Conclusion</t>
  </si>
  <si>
    <t xml:space="preserve">T49</t>
  </si>
  <si>
    <t xml:space="preserve">Abstract</t>
  </si>
  <si>
    <t xml:space="preserve">T50</t>
  </si>
  <si>
    <t xml:space="preserve">Presentation slides</t>
  </si>
  <si>
    <t xml:space="preserve">T51</t>
  </si>
  <si>
    <t xml:space="preserve">Reference management (Zotero) — ongoing</t>
  </si>
  <si>
    <t xml:space="preserve">T52</t>
  </si>
  <si>
    <t xml:space="preserve">Final proofread + reproducibility rerun from clean repo [GATE M4]</t>
  </si>
  <si>
    <t xml:space="preserve">T47,T48</t>
  </si>
  <si>
    <t xml:space="preserve">YOUR HANDS-ON ML TASK:  Trains &amp; tunes the from-scratch baseline CNN (T14, T15)</t>
  </si>
  <si>
    <t xml:space="preserve">TASKS YOU OWN (accountable)</t>
  </si>
  <si>
    <t xml:space="preserve">Deliverable</t>
  </si>
  <si>
    <t xml:space="preserve">Repo + README + branch rules</t>
  </si>
  <si>
    <t xml:space="preserve">Tracking project + seed policy</t>
  </si>
  <si>
    <t xml:space="preserve">baseline_cnn.py</t>
  </si>
  <si>
    <t xml:space="preserve">Baseline checkpoint + confusion matrix</t>
  </si>
  <si>
    <t xml:space="preserve">Baseline tuning results</t>
  </si>
  <si>
    <t xml:space="preserve">Baseline metrics</t>
  </si>
  <si>
    <t xml:space="preserve">Paper sect. 1-2</t>
  </si>
  <si>
    <t xml:space="preserve">Bibliography</t>
  </si>
  <si>
    <t xml:space="preserve">ALSO SUPPORTING (assist / review)</t>
  </si>
  <si>
    <t xml:space="preserve">Member 2 — Data + Lung-Segmentation &amp; Recipe-Model Lead</t>
  </si>
  <si>
    <t xml:space="preserve">YOUR HANDS-ON ML TASK:  Trains the lung-segmentation U-Net and the shortcut-recipe model (T07, T22)</t>
  </si>
  <si>
    <t xml:space="preserve">Verified dataset + EDA notes</t>
  </si>
  <si>
    <t xml:space="preserve">preprocess.py</t>
  </si>
  <si>
    <t xml:space="preserve">Trained U-Net + lung masks</t>
  </si>
  <si>
    <t xml:space="preserve">augment.py</t>
  </si>
  <si>
    <t xml:space="preserve">split index files</t>
  </si>
  <si>
    <t xml:space="preserve">dataloader.py (shared)</t>
  </si>
  <si>
    <t xml:space="preserve">Recipe-trained model</t>
  </si>
  <si>
    <t xml:space="preserve">Tuned recipe</t>
  </si>
  <si>
    <t xml:space="preserve">Optional regularised model</t>
  </si>
  <si>
    <t xml:space="preserve">Paper sect. (setup)</t>
  </si>
  <si>
    <t xml:space="preserve">YOUR HANDS-ON ML TASK:  Designs &amp; trains LiteCXR-Net + tuning (T20, T25)</t>
  </si>
  <si>
    <t xml:space="preserve">litecxrnet.py v1</t>
  </si>
  <si>
    <t xml:space="preserve">Configurable width</t>
  </si>
  <si>
    <t xml:space="preserve">Attention block</t>
  </si>
  <si>
    <t xml:space="preserve">LiteCXR-Net checkpoint + curves</t>
  </si>
  <si>
    <t xml:space="preserve">Comparison table</t>
  </si>
  <si>
    <t xml:space="preserve">Proposed-model tuning results</t>
  </si>
  <si>
    <t xml:space="preserve">Paper sect. (method)</t>
  </si>
  <si>
    <t xml:space="preserve">Slide deck</t>
  </si>
  <si>
    <t xml:space="preserve">YOUR HANDS-ON ML TASK:  Trains &amp; evaluates all ablation model variants (T26-T29)</t>
  </si>
  <si>
    <t xml:space="preserve">Reproducible environment</t>
  </si>
  <si>
    <t xml:space="preserve">Ablation result A</t>
  </si>
  <si>
    <t xml:space="preserve">Ablation result B</t>
  </si>
  <si>
    <t xml:space="preserve">Ablation result C</t>
  </si>
  <si>
    <t xml:space="preserve">Ablation result D</t>
  </si>
  <si>
    <t xml:space="preserve">efficiency.py</t>
  </si>
  <si>
    <t xml:space="preserve">Efficiency table</t>
  </si>
  <si>
    <t xml:space="preserve">Pareto chart</t>
  </si>
  <si>
    <t xml:space="preserve">Figure pack</t>
  </si>
  <si>
    <t xml:space="preserve">Paper sect. (experiments)</t>
  </si>
  <si>
    <t xml:space="preserve">YOUR HANDS-ON ML TASK:  Trains the no-recipe control model + fits temperature-scaling calibration (T35, T40)</t>
  </si>
  <si>
    <t xml:space="preserve">config.yaml + metrics spec</t>
  </si>
  <si>
    <t xml:space="preserve">External test set ready</t>
  </si>
  <si>
    <t xml:space="preserve">train_template.py</t>
  </si>
  <si>
    <t xml:space="preserve">external_eval.py</t>
  </si>
  <si>
    <t xml:space="preserve">Baseline OOD result</t>
  </si>
  <si>
    <t xml:space="preserve">Control model checkpoint</t>
  </si>
  <si>
    <t xml:space="preserve">Proposed OOD result</t>
  </si>
  <si>
    <t xml:space="preserve">gradcam.py</t>
  </si>
  <si>
    <t xml:space="preserve">faithfulness.py</t>
  </si>
  <si>
    <t xml:space="preserve">XAI figures + scores</t>
  </si>
  <si>
    <t xml:space="preserve">Calibration result</t>
  </si>
  <si>
    <t xml:space="preserve">Master results tables</t>
  </si>
  <si>
    <t xml:space="preserve">Stats appendix</t>
  </si>
  <si>
    <t xml:space="preserve">Paper sect. (results)</t>
  </si>
  <si>
    <t xml:space="preserve">Camera-ready + repro log</t>
  </si>
  <si>
    <t xml:space="preserve">STATUS DASHBOARD  (auto from Master Task List)</t>
  </si>
  <si>
    <t xml:space="preserve">Total tasks</t>
  </si>
  <si>
    <t xml:space="preserve">In progress</t>
  </si>
  <si>
    <t xml:space="preserve">Blocked</t>
  </si>
  <si>
    <t xml:space="preserve">Done</t>
  </si>
  <si>
    <t xml:space="preserve">% Complete</t>
  </si>
  <si>
    <t xml:space="preserve">Owned tasks per member (incl. [ML] count)</t>
  </si>
  <si>
    <t xml:space="preserve">Member</t>
  </si>
  <si>
    <t xml:space="preserve">Owned tasks</t>
  </si>
  <si>
    <t xml:space="preserve">ML tasks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</si>
</sst>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C55A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2E549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b val="true"/>
      <sz val="11"/>
      <color rgb="FF2E5496"/>
      <name val="Arial"/>
      <family val="0"/>
      <charset val="1"/>
    </font>
    <font>
      <sz val="11"/>
      <color rgb="FF333333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EDF2F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C55A11"/>
        <bgColor rgb="FF993300"/>
      </patternFill>
    </fill>
    <fill>
      <patternFill patternType="solid">
        <fgColor rgb="FFD9E1F2"/>
        <bgColor rgb="FFDCE6F1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CE6F1"/>
      </patternFill>
    </fill>
    <fill>
      <patternFill patternType="solid">
        <fgColor rgb="FFEAD1DC"/>
        <bgColor rgb="FFD9E1F2"/>
      </patternFill>
    </fill>
    <fill>
      <patternFill patternType="solid">
        <fgColor rgb="FFF2F2F2"/>
        <bgColor rgb="FFEDF2FA"/>
      </patternFill>
    </fill>
    <fill>
      <patternFill patternType="solid">
        <fgColor rgb="FFDCE6F1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FA"/>
      <rgbColor rgb="FFE2EFDA"/>
      <rgbColor rgb="FFFCE4D6"/>
      <rgbColor rgb="FFDCE6F1"/>
      <rgbColor rgb="FFF2F2F2"/>
      <rgbColor rgb="FFCC99FF"/>
      <rgbColor rgb="FFEAD1DC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2E7D32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3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s">
        <v>8</v>
      </c>
      <c r="B5" s="5" t="s">
        <v>9</v>
      </c>
      <c r="C5" s="6" t="s">
        <v>10</v>
      </c>
      <c r="D5" s="5" t="s">
        <v>11</v>
      </c>
      <c r="E5" s="5" t="s">
        <v>12</v>
      </c>
      <c r="F5" s="5" t="s">
        <v>13</v>
      </c>
    </row>
    <row r="6" customFormat="false" ht="23.85" hidden="false" customHeight="false" outlineLevel="0" collapsed="false">
      <c r="A6" s="7" t="s">
        <v>14</v>
      </c>
      <c r="B6" s="8" t="s">
        <v>15</v>
      </c>
      <c r="C6" s="9" t="s">
        <v>16</v>
      </c>
      <c r="D6" s="8" t="s">
        <v>17</v>
      </c>
      <c r="E6" s="8" t="s">
        <v>18</v>
      </c>
      <c r="F6" s="8" t="s">
        <v>19</v>
      </c>
    </row>
    <row r="7" customFormat="false" ht="23.85" hidden="false" customHeight="false" outlineLevel="0" collapsed="false">
      <c r="A7" s="4" t="s">
        <v>20</v>
      </c>
      <c r="B7" s="5" t="s">
        <v>21</v>
      </c>
      <c r="C7" s="6" t="s">
        <v>22</v>
      </c>
      <c r="D7" s="5" t="s">
        <v>23</v>
      </c>
      <c r="E7" s="5" t="s">
        <v>24</v>
      </c>
      <c r="F7" s="5" t="s">
        <v>25</v>
      </c>
    </row>
    <row r="8" customFormat="false" ht="23.85" hidden="false" customHeight="false" outlineLevel="0" collapsed="false">
      <c r="A8" s="7" t="s">
        <v>26</v>
      </c>
      <c r="B8" s="8" t="s">
        <v>27</v>
      </c>
      <c r="C8" s="9" t="s">
        <v>28</v>
      </c>
      <c r="D8" s="8" t="s">
        <v>29</v>
      </c>
      <c r="E8" s="8" t="s">
        <v>30</v>
      </c>
      <c r="F8" s="8" t="s">
        <v>31</v>
      </c>
    </row>
    <row r="9" customFormat="false" ht="35.05" hidden="false" customHeight="false" outlineLevel="0" collapsed="false">
      <c r="A9" s="4" t="s">
        <v>32</v>
      </c>
      <c r="B9" s="5" t="s">
        <v>33</v>
      </c>
      <c r="C9" s="6" t="s">
        <v>34</v>
      </c>
      <c r="D9" s="5" t="s">
        <v>35</v>
      </c>
      <c r="E9" s="5" t="s">
        <v>36</v>
      </c>
      <c r="F9" s="5" t="s">
        <v>37</v>
      </c>
    </row>
    <row r="12" customFormat="false" ht="15" hidden="false" customHeight="false" outlineLevel="0" collapsed="false">
      <c r="A12" s="10" t="s">
        <v>38</v>
      </c>
    </row>
    <row r="13" customFormat="false" ht="15" hidden="false" customHeight="true" outlineLevel="0" collapsed="false">
      <c r="A13" s="11" t="s">
        <v>39</v>
      </c>
      <c r="B13" s="12" t="s">
        <v>40</v>
      </c>
      <c r="C13" s="12"/>
      <c r="D13" s="12"/>
      <c r="E13" s="12"/>
      <c r="F13" s="12"/>
    </row>
    <row r="14" customFormat="false" ht="15" hidden="false" customHeight="true" outlineLevel="0" collapsed="false">
      <c r="A14" s="11" t="s">
        <v>41</v>
      </c>
      <c r="B14" s="12" t="s">
        <v>42</v>
      </c>
      <c r="C14" s="12"/>
      <c r="D14" s="12"/>
      <c r="E14" s="12"/>
      <c r="F14" s="12"/>
    </row>
    <row r="15" customFormat="false" ht="15" hidden="false" customHeight="true" outlineLevel="0" collapsed="false">
      <c r="A15" s="11" t="s">
        <v>43</v>
      </c>
      <c r="B15" s="12" t="s">
        <v>44</v>
      </c>
      <c r="C15" s="12"/>
      <c r="D15" s="12"/>
      <c r="E15" s="12"/>
      <c r="F15" s="12"/>
    </row>
    <row r="16" customFormat="false" ht="15" hidden="false" customHeight="true" outlineLevel="0" collapsed="false">
      <c r="A16" s="11" t="s">
        <v>45</v>
      </c>
      <c r="B16" s="12" t="s">
        <v>46</v>
      </c>
      <c r="C16" s="12"/>
      <c r="D16" s="12"/>
      <c r="E16" s="12"/>
      <c r="F16" s="12"/>
    </row>
    <row r="17" customFormat="false" ht="15" hidden="false" customHeight="true" outlineLevel="0" collapsed="false">
      <c r="A17" s="11" t="s">
        <v>47</v>
      </c>
      <c r="B17" s="12" t="s">
        <v>48</v>
      </c>
      <c r="C17" s="12"/>
      <c r="D17" s="12"/>
      <c r="E17" s="12"/>
      <c r="F17" s="12"/>
    </row>
    <row r="18" customFormat="false" ht="15" hidden="false" customHeight="true" outlineLevel="0" collapsed="false">
      <c r="A18" s="11" t="s">
        <v>49</v>
      </c>
      <c r="B18" s="12" t="s">
        <v>50</v>
      </c>
      <c r="C18" s="12"/>
      <c r="D18" s="12"/>
      <c r="E18" s="12"/>
      <c r="F18" s="12"/>
    </row>
  </sheetData>
  <mergeCells count="8">
    <mergeCell ref="A1:F1"/>
    <mergeCell ref="A2:F2"/>
    <mergeCell ref="B13:F13"/>
    <mergeCell ref="B14:F14"/>
    <mergeCell ref="B15:F15"/>
    <mergeCell ref="B16:F16"/>
    <mergeCell ref="B17:F17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5" min="5" style="0" width="16"/>
  </cols>
  <sheetData>
    <row r="1" customFormat="false" ht="25.5" hidden="false" customHeight="true" outlineLevel="0" collapsed="false">
      <c r="A1" s="1" t="s">
        <v>51</v>
      </c>
      <c r="B1" s="1"/>
      <c r="C1" s="1"/>
      <c r="D1" s="1"/>
      <c r="E1" s="1"/>
    </row>
    <row r="3" customFormat="false" ht="15" hidden="false" customHeight="false" outlineLevel="0" collapsed="false">
      <c r="A3" s="3" t="s">
        <v>52</v>
      </c>
      <c r="B3" s="3" t="s">
        <v>53</v>
      </c>
      <c r="C3" s="3" t="s">
        <v>54</v>
      </c>
      <c r="D3" s="3" t="s">
        <v>55</v>
      </c>
      <c r="E3" s="3" t="s">
        <v>56</v>
      </c>
    </row>
    <row r="4" customFormat="false" ht="55.5" hidden="false" customHeight="true" outlineLevel="0" collapsed="false">
      <c r="A4" s="13" t="s">
        <v>57</v>
      </c>
      <c r="B4" s="5" t="s">
        <v>58</v>
      </c>
      <c r="C4" s="5" t="s">
        <v>59</v>
      </c>
      <c r="D4" s="5" t="s">
        <v>60</v>
      </c>
      <c r="E4" s="5" t="s">
        <v>61</v>
      </c>
    </row>
    <row r="5" customFormat="false" ht="55.5" hidden="false" customHeight="true" outlineLevel="0" collapsed="false">
      <c r="A5" s="13" t="s">
        <v>8</v>
      </c>
      <c r="B5" s="8" t="s">
        <v>62</v>
      </c>
      <c r="C5" s="8" t="s">
        <v>63</v>
      </c>
      <c r="D5" s="8" t="s">
        <v>64</v>
      </c>
      <c r="E5" s="8" t="s">
        <v>65</v>
      </c>
    </row>
    <row r="6" customFormat="false" ht="55.5" hidden="false" customHeight="true" outlineLevel="0" collapsed="false">
      <c r="A6" s="13" t="s">
        <v>14</v>
      </c>
      <c r="B6" s="5" t="s">
        <v>66</v>
      </c>
      <c r="C6" s="5" t="s">
        <v>67</v>
      </c>
      <c r="D6" s="5" t="s">
        <v>68</v>
      </c>
      <c r="E6" s="5" t="s">
        <v>69</v>
      </c>
    </row>
    <row r="7" customFormat="false" ht="55.5" hidden="false" customHeight="true" outlineLevel="0" collapsed="false">
      <c r="A7" s="13" t="s">
        <v>20</v>
      </c>
      <c r="B7" s="8" t="s">
        <v>70</v>
      </c>
      <c r="C7" s="8" t="s">
        <v>71</v>
      </c>
      <c r="D7" s="8" t="s">
        <v>72</v>
      </c>
      <c r="E7" s="8" t="s">
        <v>32</v>
      </c>
    </row>
    <row r="8" customFormat="false" ht="55.5" hidden="false" customHeight="true" outlineLevel="0" collapsed="false">
      <c r="A8" s="13" t="s">
        <v>26</v>
      </c>
      <c r="B8" s="5" t="s">
        <v>73</v>
      </c>
      <c r="C8" s="5" t="s">
        <v>74</v>
      </c>
      <c r="D8" s="5" t="s">
        <v>75</v>
      </c>
      <c r="E8" s="5" t="s">
        <v>76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56"/>
    <col collapsed="false" customWidth="true" hidden="false" outlineLevel="0" max="4" min="4" style="0" width="8"/>
    <col collapsed="false" customWidth="true" hidden="false" outlineLevel="0" max="7" min="5" style="0" width="9"/>
    <col collapsed="false" customWidth="true" hidden="false" outlineLevel="0" max="8" min="8" style="0" width="15"/>
    <col collapsed="false" customWidth="true" hidden="false" outlineLevel="0" max="9" min="9" style="0" width="8"/>
    <col collapsed="false" customWidth="true" hidden="false" outlineLevel="0" max="10" min="10" style="0" width="13"/>
    <col collapsed="false" customWidth="true" hidden="false" outlineLevel="0" max="11" min="11" style="0" width="18"/>
  </cols>
  <sheetData>
    <row r="1" customFormat="false" ht="25.5" hidden="false" customHeight="true" outlineLevel="0" collapsed="false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23.85" hidden="false" customHeight="false" outlineLevel="0" collapsed="false">
      <c r="A3" s="3" t="s">
        <v>78</v>
      </c>
      <c r="B3" s="3" t="s">
        <v>79</v>
      </c>
      <c r="C3" s="3" t="s">
        <v>80</v>
      </c>
      <c r="D3" s="3" t="s">
        <v>47</v>
      </c>
      <c r="E3" s="3" t="s">
        <v>81</v>
      </c>
      <c r="F3" s="3" t="s">
        <v>82</v>
      </c>
      <c r="G3" s="3" t="s">
        <v>83</v>
      </c>
      <c r="H3" s="3" t="s">
        <v>84</v>
      </c>
      <c r="I3" s="3" t="s">
        <v>85</v>
      </c>
      <c r="J3" s="3" t="s">
        <v>86</v>
      </c>
      <c r="K3" s="3" t="s">
        <v>87</v>
      </c>
    </row>
    <row r="4" customFormat="false" ht="30" hidden="false" customHeight="true" outlineLevel="0" collapsed="false">
      <c r="A4" s="14" t="s">
        <v>88</v>
      </c>
      <c r="B4" s="15" t="s">
        <v>89</v>
      </c>
      <c r="C4" s="15" t="s">
        <v>90</v>
      </c>
      <c r="D4" s="16" t="s">
        <v>8</v>
      </c>
      <c r="E4" s="17" t="s">
        <v>91</v>
      </c>
      <c r="F4" s="17" t="s">
        <v>92</v>
      </c>
      <c r="G4" s="17" t="s">
        <v>57</v>
      </c>
      <c r="H4" s="15" t="s">
        <v>93</v>
      </c>
      <c r="I4" s="17" t="n">
        <v>1</v>
      </c>
      <c r="J4" s="15" t="s">
        <v>94</v>
      </c>
      <c r="K4" s="15"/>
    </row>
    <row r="5" customFormat="false" ht="30" hidden="false" customHeight="true" outlineLevel="0" collapsed="false">
      <c r="A5" s="14" t="s">
        <v>95</v>
      </c>
      <c r="B5" s="15" t="s">
        <v>89</v>
      </c>
      <c r="C5" s="15" t="s">
        <v>96</v>
      </c>
      <c r="D5" s="16" t="s">
        <v>8</v>
      </c>
      <c r="E5" s="17" t="s">
        <v>32</v>
      </c>
      <c r="F5" s="17" t="s">
        <v>92</v>
      </c>
      <c r="G5" s="17" t="s">
        <v>57</v>
      </c>
      <c r="H5" s="15" t="s">
        <v>88</v>
      </c>
      <c r="I5" s="17" t="n">
        <v>1</v>
      </c>
      <c r="J5" s="15" t="s">
        <v>94</v>
      </c>
      <c r="K5" s="15"/>
    </row>
    <row r="6" customFormat="false" ht="30" hidden="false" customHeight="true" outlineLevel="0" collapsed="false">
      <c r="A6" s="14" t="s">
        <v>97</v>
      </c>
      <c r="B6" s="15" t="s">
        <v>89</v>
      </c>
      <c r="C6" s="15" t="s">
        <v>98</v>
      </c>
      <c r="D6" s="16" t="s">
        <v>26</v>
      </c>
      <c r="E6" s="17" t="s">
        <v>14</v>
      </c>
      <c r="F6" s="17" t="s">
        <v>92</v>
      </c>
      <c r="G6" s="17" t="s">
        <v>57</v>
      </c>
      <c r="H6" s="15" t="s">
        <v>88</v>
      </c>
      <c r="I6" s="17" t="n">
        <v>1</v>
      </c>
      <c r="J6" s="15" t="s">
        <v>94</v>
      </c>
      <c r="K6" s="15"/>
    </row>
    <row r="7" customFormat="false" ht="30" hidden="false" customHeight="true" outlineLevel="0" collapsed="false">
      <c r="A7" s="14" t="s">
        <v>99</v>
      </c>
      <c r="B7" s="15" t="s">
        <v>89</v>
      </c>
      <c r="C7" s="15" t="s">
        <v>100</v>
      </c>
      <c r="D7" s="16" t="s">
        <v>32</v>
      </c>
      <c r="E7" s="17" t="s">
        <v>91</v>
      </c>
      <c r="F7" s="17" t="s">
        <v>92</v>
      </c>
      <c r="G7" s="17" t="s">
        <v>57</v>
      </c>
      <c r="H7" s="15" t="s">
        <v>88</v>
      </c>
      <c r="I7" s="17" t="n">
        <v>1</v>
      </c>
      <c r="J7" s="15" t="s">
        <v>94</v>
      </c>
      <c r="K7" s="15"/>
    </row>
    <row r="8" customFormat="false" ht="30" hidden="false" customHeight="true" outlineLevel="0" collapsed="false">
      <c r="A8" s="18" t="s">
        <v>101</v>
      </c>
      <c r="B8" s="19" t="s">
        <v>102</v>
      </c>
      <c r="C8" s="19" t="s">
        <v>103</v>
      </c>
      <c r="D8" s="20" t="s">
        <v>14</v>
      </c>
      <c r="E8" s="21" t="s">
        <v>8</v>
      </c>
      <c r="F8" s="21" t="s">
        <v>92</v>
      </c>
      <c r="G8" s="21" t="s">
        <v>57</v>
      </c>
      <c r="H8" s="19" t="s">
        <v>93</v>
      </c>
      <c r="I8" s="21" t="n">
        <v>1</v>
      </c>
      <c r="J8" s="19" t="s">
        <v>94</v>
      </c>
      <c r="K8" s="19"/>
    </row>
    <row r="9" customFormat="false" ht="30" hidden="false" customHeight="true" outlineLevel="0" collapsed="false">
      <c r="A9" s="18" t="s">
        <v>104</v>
      </c>
      <c r="B9" s="19" t="s">
        <v>102</v>
      </c>
      <c r="C9" s="19" t="s">
        <v>105</v>
      </c>
      <c r="D9" s="20" t="s">
        <v>14</v>
      </c>
      <c r="E9" s="21" t="s">
        <v>20</v>
      </c>
      <c r="F9" s="21" t="s">
        <v>92</v>
      </c>
      <c r="G9" s="21" t="s">
        <v>57</v>
      </c>
      <c r="H9" s="19" t="s">
        <v>99</v>
      </c>
      <c r="I9" s="21" t="n">
        <v>1</v>
      </c>
      <c r="J9" s="19" t="s">
        <v>94</v>
      </c>
      <c r="K9" s="19"/>
    </row>
    <row r="10" customFormat="false" ht="30" hidden="false" customHeight="true" outlineLevel="0" collapsed="false">
      <c r="A10" s="18" t="s">
        <v>106</v>
      </c>
      <c r="B10" s="19" t="s">
        <v>102</v>
      </c>
      <c r="C10" s="22" t="s">
        <v>107</v>
      </c>
      <c r="D10" s="20" t="s">
        <v>14</v>
      </c>
      <c r="E10" s="21" t="s">
        <v>32</v>
      </c>
      <c r="F10" s="21" t="s">
        <v>108</v>
      </c>
      <c r="G10" s="21" t="s">
        <v>57</v>
      </c>
      <c r="H10" s="19" t="s">
        <v>104</v>
      </c>
      <c r="I10" s="21" t="n">
        <v>2</v>
      </c>
      <c r="J10" s="19" t="s">
        <v>94</v>
      </c>
      <c r="K10" s="19"/>
    </row>
    <row r="11" customFormat="false" ht="30" hidden="false" customHeight="true" outlineLevel="0" collapsed="false">
      <c r="A11" s="18" t="s">
        <v>109</v>
      </c>
      <c r="B11" s="19" t="s">
        <v>102</v>
      </c>
      <c r="C11" s="19" t="s">
        <v>110</v>
      </c>
      <c r="D11" s="20" t="s">
        <v>14</v>
      </c>
      <c r="E11" s="21" t="s">
        <v>26</v>
      </c>
      <c r="F11" s="21" t="s">
        <v>92</v>
      </c>
      <c r="G11" s="21" t="s">
        <v>57</v>
      </c>
      <c r="H11" s="19" t="s">
        <v>104</v>
      </c>
      <c r="I11" s="21" t="n">
        <v>1</v>
      </c>
      <c r="J11" s="19" t="s">
        <v>94</v>
      </c>
      <c r="K11" s="19"/>
    </row>
    <row r="12" customFormat="false" ht="30" hidden="false" customHeight="true" outlineLevel="0" collapsed="false">
      <c r="A12" s="18" t="s">
        <v>111</v>
      </c>
      <c r="B12" s="19" t="s">
        <v>102</v>
      </c>
      <c r="C12" s="19" t="s">
        <v>112</v>
      </c>
      <c r="D12" s="20" t="s">
        <v>14</v>
      </c>
      <c r="E12" s="21" t="s">
        <v>32</v>
      </c>
      <c r="F12" s="21" t="s">
        <v>92</v>
      </c>
      <c r="G12" s="21" t="s">
        <v>57</v>
      </c>
      <c r="H12" s="19" t="s">
        <v>104</v>
      </c>
      <c r="I12" s="21" t="n">
        <v>1</v>
      </c>
      <c r="J12" s="19" t="s">
        <v>94</v>
      </c>
      <c r="K12" s="19"/>
    </row>
    <row r="13" customFormat="false" ht="30" hidden="false" customHeight="true" outlineLevel="0" collapsed="false">
      <c r="A13" s="18" t="s">
        <v>113</v>
      </c>
      <c r="B13" s="19" t="s">
        <v>102</v>
      </c>
      <c r="C13" s="19" t="s">
        <v>114</v>
      </c>
      <c r="D13" s="20" t="s">
        <v>14</v>
      </c>
      <c r="E13" s="21" t="s">
        <v>8</v>
      </c>
      <c r="F13" s="21" t="s">
        <v>92</v>
      </c>
      <c r="G13" s="21" t="s">
        <v>57</v>
      </c>
      <c r="H13" s="19" t="s">
        <v>115</v>
      </c>
      <c r="I13" s="21" t="n">
        <v>1</v>
      </c>
      <c r="J13" s="19" t="s">
        <v>94</v>
      </c>
      <c r="K13" s="19"/>
    </row>
    <row r="14" customFormat="false" ht="30" hidden="false" customHeight="true" outlineLevel="0" collapsed="false">
      <c r="A14" s="18" t="s">
        <v>116</v>
      </c>
      <c r="B14" s="19" t="s">
        <v>102</v>
      </c>
      <c r="C14" s="19" t="s">
        <v>117</v>
      </c>
      <c r="D14" s="20" t="s">
        <v>32</v>
      </c>
      <c r="E14" s="21" t="s">
        <v>14</v>
      </c>
      <c r="F14" s="21" t="s">
        <v>108</v>
      </c>
      <c r="G14" s="21" t="s">
        <v>8</v>
      </c>
      <c r="H14" s="19" t="s">
        <v>104</v>
      </c>
      <c r="I14" s="21" t="n">
        <v>2</v>
      </c>
      <c r="J14" s="19" t="s">
        <v>94</v>
      </c>
      <c r="K14" s="19"/>
    </row>
    <row r="15" customFormat="false" ht="30" hidden="false" customHeight="true" outlineLevel="0" collapsed="false">
      <c r="A15" s="23" t="s">
        <v>118</v>
      </c>
      <c r="B15" s="24" t="s">
        <v>119</v>
      </c>
      <c r="C15" s="24" t="s">
        <v>120</v>
      </c>
      <c r="D15" s="25" t="s">
        <v>8</v>
      </c>
      <c r="E15" s="26" t="s">
        <v>20</v>
      </c>
      <c r="F15" s="26" t="s">
        <v>92</v>
      </c>
      <c r="G15" s="26" t="s">
        <v>57</v>
      </c>
      <c r="H15" s="24" t="s">
        <v>113</v>
      </c>
      <c r="I15" s="26" t="n">
        <v>2</v>
      </c>
      <c r="J15" s="24" t="s">
        <v>94</v>
      </c>
      <c r="K15" s="24"/>
    </row>
    <row r="16" customFormat="false" ht="30" hidden="false" customHeight="true" outlineLevel="0" collapsed="false">
      <c r="A16" s="23" t="s">
        <v>121</v>
      </c>
      <c r="B16" s="24" t="s">
        <v>119</v>
      </c>
      <c r="C16" s="24" t="s">
        <v>122</v>
      </c>
      <c r="D16" s="25" t="s">
        <v>32</v>
      </c>
      <c r="E16" s="26" t="s">
        <v>8</v>
      </c>
      <c r="F16" s="26" t="s">
        <v>92</v>
      </c>
      <c r="G16" s="26" t="s">
        <v>57</v>
      </c>
      <c r="H16" s="24" t="s">
        <v>113</v>
      </c>
      <c r="I16" s="26" t="n">
        <v>1</v>
      </c>
      <c r="J16" s="24" t="s">
        <v>94</v>
      </c>
      <c r="K16" s="24"/>
    </row>
    <row r="17" customFormat="false" ht="30" hidden="false" customHeight="true" outlineLevel="0" collapsed="false">
      <c r="A17" s="23" t="s">
        <v>123</v>
      </c>
      <c r="B17" s="24" t="s">
        <v>119</v>
      </c>
      <c r="C17" s="27" t="s">
        <v>124</v>
      </c>
      <c r="D17" s="25" t="s">
        <v>8</v>
      </c>
      <c r="E17" s="26" t="s">
        <v>91</v>
      </c>
      <c r="F17" s="26" t="s">
        <v>92</v>
      </c>
      <c r="G17" s="26" t="s">
        <v>57</v>
      </c>
      <c r="H17" s="24" t="s">
        <v>125</v>
      </c>
      <c r="I17" s="26" t="n">
        <v>1</v>
      </c>
      <c r="J17" s="24" t="s">
        <v>94</v>
      </c>
      <c r="K17" s="24"/>
    </row>
    <row r="18" customFormat="false" ht="30" hidden="false" customHeight="true" outlineLevel="0" collapsed="false">
      <c r="A18" s="23" t="s">
        <v>126</v>
      </c>
      <c r="B18" s="24" t="s">
        <v>119</v>
      </c>
      <c r="C18" s="28" t="s">
        <v>127</v>
      </c>
      <c r="D18" s="25" t="s">
        <v>8</v>
      </c>
      <c r="E18" s="26" t="s">
        <v>93</v>
      </c>
      <c r="F18" s="26" t="s">
        <v>128</v>
      </c>
      <c r="G18" s="26" t="s">
        <v>8</v>
      </c>
      <c r="H18" s="24" t="s">
        <v>123</v>
      </c>
      <c r="I18" s="26" t="n">
        <v>2</v>
      </c>
      <c r="J18" s="24" t="s">
        <v>94</v>
      </c>
      <c r="K18" s="24"/>
    </row>
    <row r="19" customFormat="false" ht="30" hidden="false" customHeight="true" outlineLevel="0" collapsed="false">
      <c r="A19" s="23" t="s">
        <v>129</v>
      </c>
      <c r="B19" s="24" t="s">
        <v>119</v>
      </c>
      <c r="C19" s="24" t="s">
        <v>130</v>
      </c>
      <c r="D19" s="25" t="s">
        <v>8</v>
      </c>
      <c r="E19" s="26" t="s">
        <v>93</v>
      </c>
      <c r="F19" s="26" t="s">
        <v>128</v>
      </c>
      <c r="G19" s="26" t="s">
        <v>8</v>
      </c>
      <c r="H19" s="24" t="s">
        <v>126</v>
      </c>
      <c r="I19" s="26" t="n">
        <v>1</v>
      </c>
      <c r="J19" s="24" t="s">
        <v>94</v>
      </c>
      <c r="K19" s="24"/>
    </row>
    <row r="20" customFormat="false" ht="30" hidden="false" customHeight="true" outlineLevel="0" collapsed="false">
      <c r="A20" s="29" t="s">
        <v>131</v>
      </c>
      <c r="B20" s="30" t="s">
        <v>132</v>
      </c>
      <c r="C20" s="30" t="s">
        <v>133</v>
      </c>
      <c r="D20" s="31" t="s">
        <v>20</v>
      </c>
      <c r="E20" s="32" t="s">
        <v>8</v>
      </c>
      <c r="F20" s="32" t="s">
        <v>128</v>
      </c>
      <c r="G20" s="32" t="s">
        <v>8</v>
      </c>
      <c r="H20" s="30" t="s">
        <v>113</v>
      </c>
      <c r="I20" s="32" t="n">
        <v>2</v>
      </c>
      <c r="J20" s="30" t="s">
        <v>94</v>
      </c>
      <c r="K20" s="30"/>
    </row>
    <row r="21" customFormat="false" ht="30" hidden="false" customHeight="true" outlineLevel="0" collapsed="false">
      <c r="A21" s="29" t="s">
        <v>134</v>
      </c>
      <c r="B21" s="30" t="s">
        <v>132</v>
      </c>
      <c r="C21" s="30" t="s">
        <v>135</v>
      </c>
      <c r="D21" s="31" t="s">
        <v>20</v>
      </c>
      <c r="E21" s="32" t="s">
        <v>93</v>
      </c>
      <c r="F21" s="32" t="s">
        <v>128</v>
      </c>
      <c r="G21" s="32" t="s">
        <v>8</v>
      </c>
      <c r="H21" s="30" t="s">
        <v>131</v>
      </c>
      <c r="I21" s="32" t="n">
        <v>1</v>
      </c>
      <c r="J21" s="30" t="s">
        <v>94</v>
      </c>
      <c r="K21" s="30"/>
    </row>
    <row r="22" customFormat="false" ht="30" hidden="false" customHeight="true" outlineLevel="0" collapsed="false">
      <c r="A22" s="29" t="s">
        <v>136</v>
      </c>
      <c r="B22" s="30" t="s">
        <v>132</v>
      </c>
      <c r="C22" s="30" t="s">
        <v>137</v>
      </c>
      <c r="D22" s="31" t="s">
        <v>20</v>
      </c>
      <c r="E22" s="32" t="s">
        <v>93</v>
      </c>
      <c r="F22" s="32" t="s">
        <v>128</v>
      </c>
      <c r="G22" s="32" t="s">
        <v>8</v>
      </c>
      <c r="H22" s="30" t="s">
        <v>131</v>
      </c>
      <c r="I22" s="32" t="n">
        <v>1</v>
      </c>
      <c r="J22" s="30" t="s">
        <v>94</v>
      </c>
      <c r="K22" s="30"/>
    </row>
    <row r="23" customFormat="false" ht="30" hidden="false" customHeight="true" outlineLevel="0" collapsed="false">
      <c r="A23" s="29" t="s">
        <v>138</v>
      </c>
      <c r="B23" s="30" t="s">
        <v>132</v>
      </c>
      <c r="C23" s="33" t="s">
        <v>139</v>
      </c>
      <c r="D23" s="31" t="s">
        <v>20</v>
      </c>
      <c r="E23" s="32" t="s">
        <v>32</v>
      </c>
      <c r="F23" s="32" t="s">
        <v>128</v>
      </c>
      <c r="G23" s="32" t="s">
        <v>8</v>
      </c>
      <c r="H23" s="30" t="s">
        <v>140</v>
      </c>
      <c r="I23" s="32" t="n">
        <v>2</v>
      </c>
      <c r="J23" s="30" t="s">
        <v>94</v>
      </c>
      <c r="K23" s="30"/>
    </row>
    <row r="24" customFormat="false" ht="30" hidden="false" customHeight="true" outlineLevel="0" collapsed="false">
      <c r="A24" s="29" t="s">
        <v>141</v>
      </c>
      <c r="B24" s="30" t="s">
        <v>132</v>
      </c>
      <c r="C24" s="30" t="s">
        <v>142</v>
      </c>
      <c r="D24" s="31" t="s">
        <v>20</v>
      </c>
      <c r="E24" s="32" t="s">
        <v>26</v>
      </c>
      <c r="F24" s="32" t="s">
        <v>128</v>
      </c>
      <c r="G24" s="32" t="s">
        <v>8</v>
      </c>
      <c r="H24" s="30" t="s">
        <v>143</v>
      </c>
      <c r="I24" s="32" t="n">
        <v>1</v>
      </c>
      <c r="J24" s="30" t="s">
        <v>94</v>
      </c>
      <c r="K24" s="30"/>
    </row>
    <row r="25" customFormat="false" ht="30" hidden="false" customHeight="true" outlineLevel="0" collapsed="false">
      <c r="A25" s="34" t="s">
        <v>144</v>
      </c>
      <c r="B25" s="35" t="s">
        <v>145</v>
      </c>
      <c r="C25" s="36" t="s">
        <v>146</v>
      </c>
      <c r="D25" s="37" t="s">
        <v>14</v>
      </c>
      <c r="E25" s="38" t="s">
        <v>20</v>
      </c>
      <c r="F25" s="38" t="s">
        <v>128</v>
      </c>
      <c r="G25" s="38" t="s">
        <v>8</v>
      </c>
      <c r="H25" s="35" t="s">
        <v>147</v>
      </c>
      <c r="I25" s="38" t="n">
        <v>2</v>
      </c>
      <c r="J25" s="35" t="s">
        <v>94</v>
      </c>
      <c r="K25" s="35"/>
    </row>
    <row r="26" customFormat="false" ht="30" hidden="false" customHeight="true" outlineLevel="0" collapsed="false">
      <c r="A26" s="34" t="s">
        <v>148</v>
      </c>
      <c r="B26" s="35" t="s">
        <v>145</v>
      </c>
      <c r="C26" s="35" t="s">
        <v>149</v>
      </c>
      <c r="D26" s="37" t="s">
        <v>14</v>
      </c>
      <c r="E26" s="38" t="s">
        <v>32</v>
      </c>
      <c r="F26" s="38" t="s">
        <v>150</v>
      </c>
      <c r="G26" s="38" t="s">
        <v>14</v>
      </c>
      <c r="H26" s="35" t="s">
        <v>144</v>
      </c>
      <c r="I26" s="38" t="n">
        <v>1</v>
      </c>
      <c r="J26" s="35" t="s">
        <v>94</v>
      </c>
      <c r="K26" s="35"/>
    </row>
    <row r="27" customFormat="false" ht="30" hidden="false" customHeight="true" outlineLevel="0" collapsed="false">
      <c r="A27" s="34" t="s">
        <v>151</v>
      </c>
      <c r="B27" s="35" t="s">
        <v>145</v>
      </c>
      <c r="C27" s="36" t="s">
        <v>152</v>
      </c>
      <c r="D27" s="37" t="s">
        <v>14</v>
      </c>
      <c r="E27" s="38" t="s">
        <v>93</v>
      </c>
      <c r="F27" s="38" t="s">
        <v>150</v>
      </c>
      <c r="G27" s="38" t="s">
        <v>14</v>
      </c>
      <c r="H27" s="35" t="s">
        <v>144</v>
      </c>
      <c r="I27" s="38" t="n">
        <v>1</v>
      </c>
      <c r="J27" s="35" t="s">
        <v>94</v>
      </c>
      <c r="K27" s="35"/>
    </row>
    <row r="28" customFormat="false" ht="30" hidden="false" customHeight="true" outlineLevel="0" collapsed="false">
      <c r="A28" s="39" t="s">
        <v>153</v>
      </c>
      <c r="B28" s="40" t="s">
        <v>154</v>
      </c>
      <c r="C28" s="41" t="s">
        <v>155</v>
      </c>
      <c r="D28" s="42" t="s">
        <v>20</v>
      </c>
      <c r="E28" s="43" t="s">
        <v>26</v>
      </c>
      <c r="F28" s="43" t="s">
        <v>150</v>
      </c>
      <c r="G28" s="43" t="s">
        <v>14</v>
      </c>
      <c r="H28" s="40" t="s">
        <v>138</v>
      </c>
      <c r="I28" s="43" t="n">
        <v>2</v>
      </c>
      <c r="J28" s="40" t="s">
        <v>94</v>
      </c>
      <c r="K28" s="40"/>
    </row>
    <row r="29" customFormat="false" ht="30" hidden="false" customHeight="true" outlineLevel="0" collapsed="false">
      <c r="A29" s="18" t="s">
        <v>156</v>
      </c>
      <c r="B29" s="19" t="s">
        <v>157</v>
      </c>
      <c r="C29" s="22" t="s">
        <v>158</v>
      </c>
      <c r="D29" s="20" t="s">
        <v>26</v>
      </c>
      <c r="E29" s="21" t="s">
        <v>20</v>
      </c>
      <c r="F29" s="21" t="s">
        <v>150</v>
      </c>
      <c r="G29" s="21" t="s">
        <v>14</v>
      </c>
      <c r="H29" s="19" t="s">
        <v>138</v>
      </c>
      <c r="I29" s="21" t="n">
        <v>1</v>
      </c>
      <c r="J29" s="19" t="s">
        <v>94</v>
      </c>
      <c r="K29" s="19"/>
    </row>
    <row r="30" customFormat="false" ht="30" hidden="false" customHeight="true" outlineLevel="0" collapsed="false">
      <c r="A30" s="18" t="s">
        <v>159</v>
      </c>
      <c r="B30" s="19" t="s">
        <v>157</v>
      </c>
      <c r="C30" s="22" t="s">
        <v>160</v>
      </c>
      <c r="D30" s="20" t="s">
        <v>26</v>
      </c>
      <c r="E30" s="21" t="s">
        <v>20</v>
      </c>
      <c r="F30" s="21" t="s">
        <v>150</v>
      </c>
      <c r="G30" s="21" t="s">
        <v>14</v>
      </c>
      <c r="H30" s="19" t="s">
        <v>138</v>
      </c>
      <c r="I30" s="21" t="n">
        <v>1</v>
      </c>
      <c r="J30" s="19" t="s">
        <v>94</v>
      </c>
      <c r="K30" s="19"/>
    </row>
    <row r="31" customFormat="false" ht="30" hidden="false" customHeight="true" outlineLevel="0" collapsed="false">
      <c r="A31" s="18" t="s">
        <v>161</v>
      </c>
      <c r="B31" s="19" t="s">
        <v>157</v>
      </c>
      <c r="C31" s="22" t="s">
        <v>162</v>
      </c>
      <c r="D31" s="20" t="s">
        <v>26</v>
      </c>
      <c r="E31" s="21" t="s">
        <v>14</v>
      </c>
      <c r="F31" s="21" t="s">
        <v>150</v>
      </c>
      <c r="G31" s="21" t="s">
        <v>14</v>
      </c>
      <c r="H31" s="19" t="s">
        <v>144</v>
      </c>
      <c r="I31" s="21" t="n">
        <v>1</v>
      </c>
      <c r="J31" s="19" t="s">
        <v>94</v>
      </c>
      <c r="K31" s="19"/>
    </row>
    <row r="32" customFormat="false" ht="30" hidden="false" customHeight="true" outlineLevel="0" collapsed="false">
      <c r="A32" s="18" t="s">
        <v>163</v>
      </c>
      <c r="B32" s="19" t="s">
        <v>157</v>
      </c>
      <c r="C32" s="22" t="s">
        <v>164</v>
      </c>
      <c r="D32" s="20" t="s">
        <v>26</v>
      </c>
      <c r="E32" s="21" t="s">
        <v>20</v>
      </c>
      <c r="F32" s="21" t="s">
        <v>150</v>
      </c>
      <c r="G32" s="21" t="s">
        <v>14</v>
      </c>
      <c r="H32" s="19" t="s">
        <v>134</v>
      </c>
      <c r="I32" s="21" t="n">
        <v>1</v>
      </c>
      <c r="J32" s="19" t="s">
        <v>94</v>
      </c>
      <c r="K32" s="19"/>
    </row>
    <row r="33" customFormat="false" ht="30" hidden="false" customHeight="true" outlineLevel="0" collapsed="false">
      <c r="A33" s="23" t="s">
        <v>165</v>
      </c>
      <c r="B33" s="24" t="s">
        <v>166</v>
      </c>
      <c r="C33" s="27" t="s">
        <v>167</v>
      </c>
      <c r="D33" s="25" t="s">
        <v>26</v>
      </c>
      <c r="E33" s="26" t="s">
        <v>32</v>
      </c>
      <c r="F33" s="26" t="s">
        <v>150</v>
      </c>
      <c r="G33" s="26" t="s">
        <v>14</v>
      </c>
      <c r="H33" s="24" t="s">
        <v>138</v>
      </c>
      <c r="I33" s="26" t="n">
        <v>1</v>
      </c>
      <c r="J33" s="24" t="s">
        <v>94</v>
      </c>
      <c r="K33" s="24"/>
    </row>
    <row r="34" customFormat="false" ht="30" hidden="false" customHeight="true" outlineLevel="0" collapsed="false">
      <c r="A34" s="23" t="s">
        <v>168</v>
      </c>
      <c r="B34" s="24" t="s">
        <v>166</v>
      </c>
      <c r="C34" s="24" t="s">
        <v>169</v>
      </c>
      <c r="D34" s="25" t="s">
        <v>26</v>
      </c>
      <c r="E34" s="26" t="s">
        <v>32</v>
      </c>
      <c r="F34" s="26" t="s">
        <v>150</v>
      </c>
      <c r="G34" s="26" t="s">
        <v>14</v>
      </c>
      <c r="H34" s="24" t="s">
        <v>170</v>
      </c>
      <c r="I34" s="26" t="n">
        <v>1</v>
      </c>
      <c r="J34" s="24" t="s">
        <v>94</v>
      </c>
      <c r="K34" s="24"/>
    </row>
    <row r="35" customFormat="false" ht="30" hidden="false" customHeight="true" outlineLevel="0" collapsed="false">
      <c r="A35" s="23" t="s">
        <v>171</v>
      </c>
      <c r="B35" s="24" t="s">
        <v>166</v>
      </c>
      <c r="C35" s="24" t="s">
        <v>172</v>
      </c>
      <c r="D35" s="25" t="s">
        <v>26</v>
      </c>
      <c r="E35" s="26" t="s">
        <v>20</v>
      </c>
      <c r="F35" s="26" t="s">
        <v>173</v>
      </c>
      <c r="G35" s="26" t="s">
        <v>14</v>
      </c>
      <c r="H35" s="24" t="s">
        <v>168</v>
      </c>
      <c r="I35" s="26" t="n">
        <v>1</v>
      </c>
      <c r="J35" s="24" t="s">
        <v>94</v>
      </c>
      <c r="K35" s="24"/>
    </row>
    <row r="36" customFormat="false" ht="30" hidden="false" customHeight="true" outlineLevel="0" collapsed="false">
      <c r="A36" s="29" t="s">
        <v>174</v>
      </c>
      <c r="B36" s="30" t="s">
        <v>175</v>
      </c>
      <c r="C36" s="30" t="s">
        <v>176</v>
      </c>
      <c r="D36" s="31" t="s">
        <v>32</v>
      </c>
      <c r="E36" s="32" t="s">
        <v>8</v>
      </c>
      <c r="F36" s="32" t="s">
        <v>150</v>
      </c>
      <c r="G36" s="32" t="s">
        <v>20</v>
      </c>
      <c r="H36" s="30" t="s">
        <v>116</v>
      </c>
      <c r="I36" s="32" t="n">
        <v>1</v>
      </c>
      <c r="J36" s="30" t="s">
        <v>94</v>
      </c>
      <c r="K36" s="30"/>
    </row>
    <row r="37" customFormat="false" ht="30" hidden="false" customHeight="true" outlineLevel="0" collapsed="false">
      <c r="A37" s="29" t="s">
        <v>177</v>
      </c>
      <c r="B37" s="30" t="s">
        <v>175</v>
      </c>
      <c r="C37" s="30" t="s">
        <v>178</v>
      </c>
      <c r="D37" s="31" t="s">
        <v>32</v>
      </c>
      <c r="E37" s="32" t="s">
        <v>93</v>
      </c>
      <c r="F37" s="32" t="s">
        <v>150</v>
      </c>
      <c r="G37" s="32" t="s">
        <v>20</v>
      </c>
      <c r="H37" s="30" t="s">
        <v>179</v>
      </c>
      <c r="I37" s="32" t="n">
        <v>1</v>
      </c>
      <c r="J37" s="30" t="s">
        <v>94</v>
      </c>
      <c r="K37" s="30"/>
    </row>
    <row r="38" customFormat="false" ht="30" hidden="false" customHeight="true" outlineLevel="0" collapsed="false">
      <c r="A38" s="29" t="s">
        <v>180</v>
      </c>
      <c r="B38" s="30" t="s">
        <v>175</v>
      </c>
      <c r="C38" s="33" t="s">
        <v>181</v>
      </c>
      <c r="D38" s="31" t="s">
        <v>32</v>
      </c>
      <c r="E38" s="32" t="s">
        <v>20</v>
      </c>
      <c r="F38" s="32" t="s">
        <v>150</v>
      </c>
      <c r="G38" s="32" t="s">
        <v>20</v>
      </c>
      <c r="H38" s="30" t="s">
        <v>138</v>
      </c>
      <c r="I38" s="32" t="n">
        <v>1</v>
      </c>
      <c r="J38" s="30" t="s">
        <v>94</v>
      </c>
      <c r="K38" s="30"/>
    </row>
    <row r="39" customFormat="false" ht="30" hidden="false" customHeight="true" outlineLevel="0" collapsed="false">
      <c r="A39" s="29" t="s">
        <v>182</v>
      </c>
      <c r="B39" s="30" t="s">
        <v>175</v>
      </c>
      <c r="C39" s="30" t="s">
        <v>183</v>
      </c>
      <c r="D39" s="31" t="s">
        <v>32</v>
      </c>
      <c r="E39" s="32" t="s">
        <v>14</v>
      </c>
      <c r="F39" s="32" t="s">
        <v>150</v>
      </c>
      <c r="G39" s="32" t="s">
        <v>20</v>
      </c>
      <c r="H39" s="30" t="s">
        <v>184</v>
      </c>
      <c r="I39" s="32" t="n">
        <v>1</v>
      </c>
      <c r="J39" s="30" t="s">
        <v>94</v>
      </c>
      <c r="K39" s="30"/>
    </row>
    <row r="40" customFormat="false" ht="30" hidden="false" customHeight="true" outlineLevel="0" collapsed="false">
      <c r="A40" s="34" t="s">
        <v>185</v>
      </c>
      <c r="B40" s="35" t="s">
        <v>186</v>
      </c>
      <c r="C40" s="44" t="s">
        <v>187</v>
      </c>
      <c r="D40" s="37" t="s">
        <v>32</v>
      </c>
      <c r="E40" s="38" t="s">
        <v>20</v>
      </c>
      <c r="F40" s="38" t="s">
        <v>150</v>
      </c>
      <c r="G40" s="38" t="s">
        <v>20</v>
      </c>
      <c r="H40" s="35" t="s">
        <v>138</v>
      </c>
      <c r="I40" s="38" t="n">
        <v>1</v>
      </c>
      <c r="J40" s="35" t="s">
        <v>94</v>
      </c>
      <c r="K40" s="35"/>
    </row>
    <row r="41" customFormat="false" ht="30" hidden="false" customHeight="true" outlineLevel="0" collapsed="false">
      <c r="A41" s="34" t="s">
        <v>188</v>
      </c>
      <c r="B41" s="35" t="s">
        <v>186</v>
      </c>
      <c r="C41" s="35" t="s">
        <v>189</v>
      </c>
      <c r="D41" s="37" t="s">
        <v>32</v>
      </c>
      <c r="E41" s="38" t="s">
        <v>14</v>
      </c>
      <c r="F41" s="38" t="s">
        <v>150</v>
      </c>
      <c r="G41" s="38" t="s">
        <v>20</v>
      </c>
      <c r="H41" s="35" t="s">
        <v>190</v>
      </c>
      <c r="I41" s="38" t="n">
        <v>1</v>
      </c>
      <c r="J41" s="35" t="s">
        <v>94</v>
      </c>
      <c r="K41" s="35"/>
    </row>
    <row r="42" customFormat="false" ht="30" hidden="false" customHeight="true" outlineLevel="0" collapsed="false">
      <c r="A42" s="34" t="s">
        <v>191</v>
      </c>
      <c r="B42" s="35" t="s">
        <v>186</v>
      </c>
      <c r="C42" s="35" t="s">
        <v>192</v>
      </c>
      <c r="D42" s="37" t="s">
        <v>32</v>
      </c>
      <c r="E42" s="38" t="s">
        <v>93</v>
      </c>
      <c r="F42" s="38" t="s">
        <v>150</v>
      </c>
      <c r="G42" s="38" t="s">
        <v>20</v>
      </c>
      <c r="H42" s="35" t="s">
        <v>193</v>
      </c>
      <c r="I42" s="38" t="n">
        <v>1</v>
      </c>
      <c r="J42" s="35" t="s">
        <v>94</v>
      </c>
      <c r="K42" s="35"/>
    </row>
    <row r="43" customFormat="false" ht="30" hidden="false" customHeight="true" outlineLevel="0" collapsed="false">
      <c r="A43" s="39" t="s">
        <v>194</v>
      </c>
      <c r="B43" s="40" t="s">
        <v>195</v>
      </c>
      <c r="C43" s="41" t="s">
        <v>196</v>
      </c>
      <c r="D43" s="42" t="s">
        <v>32</v>
      </c>
      <c r="E43" s="43" t="s">
        <v>26</v>
      </c>
      <c r="F43" s="43" t="s">
        <v>173</v>
      </c>
      <c r="G43" s="43" t="s">
        <v>20</v>
      </c>
      <c r="H43" s="40" t="s">
        <v>197</v>
      </c>
      <c r="I43" s="43" t="n">
        <v>1</v>
      </c>
      <c r="J43" s="40" t="s">
        <v>94</v>
      </c>
      <c r="K43" s="40"/>
    </row>
    <row r="44" customFormat="false" ht="30" hidden="false" customHeight="true" outlineLevel="0" collapsed="false">
      <c r="A44" s="14" t="s">
        <v>198</v>
      </c>
      <c r="B44" s="15" t="s">
        <v>199</v>
      </c>
      <c r="C44" s="15" t="s">
        <v>200</v>
      </c>
      <c r="D44" s="16" t="s">
        <v>32</v>
      </c>
      <c r="E44" s="17" t="s">
        <v>8</v>
      </c>
      <c r="F44" s="17" t="s">
        <v>201</v>
      </c>
      <c r="G44" s="17" t="s">
        <v>26</v>
      </c>
      <c r="H44" s="15" t="s">
        <v>202</v>
      </c>
      <c r="I44" s="17" t="n">
        <v>1</v>
      </c>
      <c r="J44" s="15" t="s">
        <v>94</v>
      </c>
      <c r="K44" s="15"/>
    </row>
    <row r="45" customFormat="false" ht="30" hidden="false" customHeight="true" outlineLevel="0" collapsed="false">
      <c r="A45" s="14" t="s">
        <v>203</v>
      </c>
      <c r="B45" s="15" t="s">
        <v>199</v>
      </c>
      <c r="C45" s="15" t="s">
        <v>204</v>
      </c>
      <c r="D45" s="16" t="s">
        <v>32</v>
      </c>
      <c r="E45" s="17" t="s">
        <v>26</v>
      </c>
      <c r="F45" s="17" t="s">
        <v>201</v>
      </c>
      <c r="G45" s="17" t="s">
        <v>26</v>
      </c>
      <c r="H45" s="15" t="s">
        <v>198</v>
      </c>
      <c r="I45" s="17" t="n">
        <v>1</v>
      </c>
      <c r="J45" s="15" t="s">
        <v>94</v>
      </c>
      <c r="K45" s="15"/>
    </row>
    <row r="46" customFormat="false" ht="30" hidden="false" customHeight="true" outlineLevel="0" collapsed="false">
      <c r="A46" s="14" t="s">
        <v>205</v>
      </c>
      <c r="B46" s="15" t="s">
        <v>199</v>
      </c>
      <c r="C46" s="15" t="s">
        <v>206</v>
      </c>
      <c r="D46" s="16" t="s">
        <v>26</v>
      </c>
      <c r="E46" s="17" t="s">
        <v>20</v>
      </c>
      <c r="F46" s="17" t="s">
        <v>201</v>
      </c>
      <c r="G46" s="17" t="s">
        <v>26</v>
      </c>
      <c r="H46" s="15" t="s">
        <v>198</v>
      </c>
      <c r="I46" s="17" t="n">
        <v>1</v>
      </c>
      <c r="J46" s="15" t="s">
        <v>94</v>
      </c>
      <c r="K46" s="15"/>
    </row>
    <row r="47" customFormat="false" ht="30" hidden="false" customHeight="true" outlineLevel="0" collapsed="false">
      <c r="A47" s="45" t="s">
        <v>207</v>
      </c>
      <c r="B47" s="46" t="s">
        <v>208</v>
      </c>
      <c r="C47" s="46" t="s">
        <v>209</v>
      </c>
      <c r="D47" s="47" t="s">
        <v>8</v>
      </c>
      <c r="E47" s="48" t="s">
        <v>32</v>
      </c>
      <c r="F47" s="48" t="s">
        <v>210</v>
      </c>
      <c r="G47" s="48" t="s">
        <v>26</v>
      </c>
      <c r="H47" s="46" t="s">
        <v>93</v>
      </c>
      <c r="I47" s="48" t="n">
        <v>3</v>
      </c>
      <c r="J47" s="46" t="s">
        <v>94</v>
      </c>
      <c r="K47" s="46"/>
    </row>
    <row r="48" customFormat="false" ht="30" hidden="false" customHeight="true" outlineLevel="0" collapsed="false">
      <c r="A48" s="45" t="s">
        <v>211</v>
      </c>
      <c r="B48" s="46" t="s">
        <v>208</v>
      </c>
      <c r="C48" s="46" t="s">
        <v>212</v>
      </c>
      <c r="D48" s="47" t="s">
        <v>14</v>
      </c>
      <c r="E48" s="48" t="s">
        <v>8</v>
      </c>
      <c r="F48" s="48" t="s">
        <v>213</v>
      </c>
      <c r="G48" s="48" t="s">
        <v>26</v>
      </c>
      <c r="H48" s="46" t="s">
        <v>93</v>
      </c>
      <c r="I48" s="48" t="n">
        <v>2</v>
      </c>
      <c r="J48" s="46" t="s">
        <v>94</v>
      </c>
      <c r="K48" s="46"/>
    </row>
    <row r="49" customFormat="false" ht="30" hidden="false" customHeight="true" outlineLevel="0" collapsed="false">
      <c r="A49" s="45" t="s">
        <v>214</v>
      </c>
      <c r="B49" s="46" t="s">
        <v>208</v>
      </c>
      <c r="C49" s="46" t="s">
        <v>215</v>
      </c>
      <c r="D49" s="47" t="s">
        <v>20</v>
      </c>
      <c r="E49" s="48" t="s">
        <v>32</v>
      </c>
      <c r="F49" s="48" t="s">
        <v>213</v>
      </c>
      <c r="G49" s="48" t="s">
        <v>26</v>
      </c>
      <c r="H49" s="46" t="s">
        <v>93</v>
      </c>
      <c r="I49" s="48" t="n">
        <v>2</v>
      </c>
      <c r="J49" s="46" t="s">
        <v>94</v>
      </c>
      <c r="K49" s="46"/>
    </row>
    <row r="50" customFormat="false" ht="30" hidden="false" customHeight="true" outlineLevel="0" collapsed="false">
      <c r="A50" s="45" t="s">
        <v>216</v>
      </c>
      <c r="B50" s="46" t="s">
        <v>208</v>
      </c>
      <c r="C50" s="46" t="s">
        <v>217</v>
      </c>
      <c r="D50" s="47" t="s">
        <v>26</v>
      </c>
      <c r="E50" s="48" t="s">
        <v>91</v>
      </c>
      <c r="F50" s="48" t="s">
        <v>201</v>
      </c>
      <c r="G50" s="48" t="s">
        <v>26</v>
      </c>
      <c r="H50" s="46" t="s">
        <v>198</v>
      </c>
      <c r="I50" s="48" t="n">
        <v>2</v>
      </c>
      <c r="J50" s="46" t="s">
        <v>94</v>
      </c>
      <c r="K50" s="46"/>
    </row>
    <row r="51" customFormat="false" ht="30" hidden="false" customHeight="true" outlineLevel="0" collapsed="false">
      <c r="A51" s="45" t="s">
        <v>218</v>
      </c>
      <c r="B51" s="46" t="s">
        <v>208</v>
      </c>
      <c r="C51" s="46" t="s">
        <v>219</v>
      </c>
      <c r="D51" s="47" t="s">
        <v>32</v>
      </c>
      <c r="E51" s="48" t="s">
        <v>91</v>
      </c>
      <c r="F51" s="48" t="s">
        <v>201</v>
      </c>
      <c r="G51" s="48" t="s">
        <v>26</v>
      </c>
      <c r="H51" s="46" t="s">
        <v>198</v>
      </c>
      <c r="I51" s="48" t="n">
        <v>2</v>
      </c>
      <c r="J51" s="46" t="s">
        <v>94</v>
      </c>
      <c r="K51" s="46"/>
    </row>
    <row r="52" customFormat="false" ht="30" hidden="false" customHeight="true" outlineLevel="0" collapsed="false">
      <c r="A52" s="45" t="s">
        <v>220</v>
      </c>
      <c r="B52" s="46" t="s">
        <v>208</v>
      </c>
      <c r="C52" s="46" t="s">
        <v>221</v>
      </c>
      <c r="D52" s="47" t="s">
        <v>8</v>
      </c>
      <c r="E52" s="48" t="s">
        <v>32</v>
      </c>
      <c r="F52" s="48" t="s">
        <v>201</v>
      </c>
      <c r="G52" s="48" t="s">
        <v>26</v>
      </c>
      <c r="H52" s="46" t="s">
        <v>218</v>
      </c>
      <c r="I52" s="48" t="n">
        <v>1</v>
      </c>
      <c r="J52" s="46" t="s">
        <v>94</v>
      </c>
      <c r="K52" s="46"/>
    </row>
    <row r="53" customFormat="false" ht="30" hidden="false" customHeight="true" outlineLevel="0" collapsed="false">
      <c r="A53" s="45" t="s">
        <v>222</v>
      </c>
      <c r="B53" s="46" t="s">
        <v>208</v>
      </c>
      <c r="C53" s="46" t="s">
        <v>223</v>
      </c>
      <c r="D53" s="47" t="s">
        <v>20</v>
      </c>
      <c r="E53" s="48" t="s">
        <v>91</v>
      </c>
      <c r="F53" s="48" t="s">
        <v>201</v>
      </c>
      <c r="G53" s="48" t="s">
        <v>26</v>
      </c>
      <c r="H53" s="46" t="s">
        <v>198</v>
      </c>
      <c r="I53" s="48" t="n">
        <v>2</v>
      </c>
      <c r="J53" s="46" t="s">
        <v>94</v>
      </c>
      <c r="K53" s="46"/>
    </row>
    <row r="54" customFormat="false" ht="30" hidden="false" customHeight="true" outlineLevel="0" collapsed="false">
      <c r="A54" s="45" t="s">
        <v>224</v>
      </c>
      <c r="B54" s="46" t="s">
        <v>208</v>
      </c>
      <c r="C54" s="46" t="s">
        <v>225</v>
      </c>
      <c r="D54" s="47" t="s">
        <v>8</v>
      </c>
      <c r="E54" s="48" t="s">
        <v>91</v>
      </c>
      <c r="F54" s="48" t="s">
        <v>210</v>
      </c>
      <c r="G54" s="48" t="s">
        <v>26</v>
      </c>
      <c r="H54" s="46" t="s">
        <v>93</v>
      </c>
      <c r="I54" s="48" t="n">
        <v>1</v>
      </c>
      <c r="J54" s="46" t="s">
        <v>94</v>
      </c>
      <c r="K54" s="46"/>
    </row>
    <row r="55" customFormat="false" ht="30" hidden="false" customHeight="true" outlineLevel="0" collapsed="false">
      <c r="A55" s="45" t="s">
        <v>226</v>
      </c>
      <c r="B55" s="46" t="s">
        <v>208</v>
      </c>
      <c r="C55" s="49" t="s">
        <v>227</v>
      </c>
      <c r="D55" s="47" t="s">
        <v>32</v>
      </c>
      <c r="E55" s="48" t="s">
        <v>91</v>
      </c>
      <c r="F55" s="48" t="s">
        <v>201</v>
      </c>
      <c r="G55" s="48" t="s">
        <v>26</v>
      </c>
      <c r="H55" s="46" t="s">
        <v>228</v>
      </c>
      <c r="I55" s="48" t="n">
        <v>1</v>
      </c>
      <c r="J55" s="46" t="s">
        <v>94</v>
      </c>
      <c r="K55" s="46"/>
    </row>
  </sheetData>
  <mergeCells count="1">
    <mergeCell ref="A1:K1"/>
  </mergeCells>
  <dataValidations count="1">
    <dataValidation allowBlank="true" errorStyle="stop" operator="between" showDropDown="false" showErrorMessage="false" showInputMessage="false" sqref="J4:J55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50"/>
    <col collapsed="false" customWidth="true" hidden="false" outlineLevel="0" max="5" min="4" style="0" width="9"/>
    <col collapsed="false" customWidth="true" hidden="false" outlineLevel="0" max="6" min="6" style="0" width="15"/>
    <col collapsed="false" customWidth="true" hidden="false" outlineLevel="0" max="7" min="7" style="0" width="8"/>
    <col collapsed="false" customWidth="true" hidden="false" outlineLevel="0" max="8" min="8" style="0" width="30"/>
  </cols>
  <sheetData>
    <row r="1" customFormat="false" ht="25.5" hidden="false" customHeight="true" outlineLevel="0" collapsed="false">
      <c r="A1" s="50" t="s">
        <v>9</v>
      </c>
      <c r="B1" s="50"/>
      <c r="C1" s="50"/>
      <c r="D1" s="50"/>
      <c r="E1" s="50"/>
      <c r="F1" s="50"/>
      <c r="G1" s="50"/>
      <c r="H1" s="50"/>
    </row>
    <row r="3" customFormat="false" ht="15" hidden="false" customHeight="false" outlineLevel="0" collapsed="false">
      <c r="A3" s="51" t="s">
        <v>229</v>
      </c>
      <c r="B3" s="51"/>
      <c r="C3" s="51"/>
      <c r="D3" s="51"/>
      <c r="E3" s="51"/>
      <c r="F3" s="51"/>
      <c r="G3" s="51"/>
      <c r="H3" s="51"/>
    </row>
    <row r="4" customFormat="false" ht="15" hidden="false" customHeight="false" outlineLevel="0" collapsed="false">
      <c r="A4" s="52" t="s">
        <v>230</v>
      </c>
    </row>
    <row r="5" customFormat="false" ht="23.85" hidden="false" customHeight="false" outlineLevel="0" collapsed="false">
      <c r="A5" s="3" t="s">
        <v>78</v>
      </c>
      <c r="B5" s="3" t="s">
        <v>79</v>
      </c>
      <c r="C5" s="3" t="s">
        <v>80</v>
      </c>
      <c r="D5" s="3" t="s">
        <v>82</v>
      </c>
      <c r="E5" s="3" t="s">
        <v>83</v>
      </c>
      <c r="F5" s="3" t="s">
        <v>84</v>
      </c>
      <c r="G5" s="3" t="s">
        <v>85</v>
      </c>
      <c r="H5" s="3" t="s">
        <v>231</v>
      </c>
    </row>
    <row r="6" customFormat="false" ht="30" hidden="false" customHeight="true" outlineLevel="0" collapsed="false">
      <c r="A6" s="53" t="s">
        <v>88</v>
      </c>
      <c r="B6" s="5" t="s">
        <v>89</v>
      </c>
      <c r="C6" s="5" t="s">
        <v>90</v>
      </c>
      <c r="D6" s="54" t="s">
        <v>92</v>
      </c>
      <c r="E6" s="54" t="s">
        <v>57</v>
      </c>
      <c r="F6" s="54" t="s">
        <v>93</v>
      </c>
      <c r="G6" s="54" t="n">
        <v>1</v>
      </c>
      <c r="H6" s="5" t="s">
        <v>232</v>
      </c>
    </row>
    <row r="7" customFormat="false" ht="30" hidden="false" customHeight="true" outlineLevel="0" collapsed="false">
      <c r="A7" s="55" t="s">
        <v>95</v>
      </c>
      <c r="B7" s="8" t="s">
        <v>89</v>
      </c>
      <c r="C7" s="8" t="s">
        <v>96</v>
      </c>
      <c r="D7" s="56" t="s">
        <v>92</v>
      </c>
      <c r="E7" s="56" t="s">
        <v>57</v>
      </c>
      <c r="F7" s="56" t="s">
        <v>88</v>
      </c>
      <c r="G7" s="56" t="n">
        <v>1</v>
      </c>
      <c r="H7" s="8" t="s">
        <v>233</v>
      </c>
    </row>
    <row r="8" customFormat="false" ht="30" hidden="false" customHeight="true" outlineLevel="0" collapsed="false">
      <c r="A8" s="53" t="s">
        <v>118</v>
      </c>
      <c r="B8" s="5" t="s">
        <v>119</v>
      </c>
      <c r="C8" s="5" t="s">
        <v>120</v>
      </c>
      <c r="D8" s="54" t="s">
        <v>92</v>
      </c>
      <c r="E8" s="54" t="s">
        <v>57</v>
      </c>
      <c r="F8" s="54" t="s">
        <v>113</v>
      </c>
      <c r="G8" s="54" t="n">
        <v>2</v>
      </c>
      <c r="H8" s="5" t="s">
        <v>234</v>
      </c>
    </row>
    <row r="9" customFormat="false" ht="30" hidden="false" customHeight="true" outlineLevel="0" collapsed="false">
      <c r="A9" s="55" t="s">
        <v>123</v>
      </c>
      <c r="B9" s="8" t="s">
        <v>119</v>
      </c>
      <c r="C9" s="57" t="s">
        <v>124</v>
      </c>
      <c r="D9" s="56" t="s">
        <v>92</v>
      </c>
      <c r="E9" s="56" t="s">
        <v>57</v>
      </c>
      <c r="F9" s="56" t="s">
        <v>125</v>
      </c>
      <c r="G9" s="56" t="n">
        <v>1</v>
      </c>
      <c r="H9" s="8" t="s">
        <v>235</v>
      </c>
    </row>
    <row r="10" customFormat="false" ht="30" hidden="false" customHeight="true" outlineLevel="0" collapsed="false">
      <c r="A10" s="53" t="s">
        <v>126</v>
      </c>
      <c r="B10" s="5" t="s">
        <v>119</v>
      </c>
      <c r="C10" s="6" t="s">
        <v>127</v>
      </c>
      <c r="D10" s="54" t="s">
        <v>128</v>
      </c>
      <c r="E10" s="54" t="s">
        <v>8</v>
      </c>
      <c r="F10" s="54" t="s">
        <v>123</v>
      </c>
      <c r="G10" s="54" t="n">
        <v>2</v>
      </c>
      <c r="H10" s="5" t="s">
        <v>236</v>
      </c>
    </row>
    <row r="11" customFormat="false" ht="30" hidden="false" customHeight="true" outlineLevel="0" collapsed="false">
      <c r="A11" s="55" t="s">
        <v>129</v>
      </c>
      <c r="B11" s="8" t="s">
        <v>119</v>
      </c>
      <c r="C11" s="8" t="s">
        <v>130</v>
      </c>
      <c r="D11" s="56" t="s">
        <v>128</v>
      </c>
      <c r="E11" s="56" t="s">
        <v>8</v>
      </c>
      <c r="F11" s="56" t="s">
        <v>126</v>
      </c>
      <c r="G11" s="56" t="n">
        <v>1</v>
      </c>
      <c r="H11" s="8" t="s">
        <v>237</v>
      </c>
    </row>
    <row r="12" customFormat="false" ht="30" hidden="false" customHeight="true" outlineLevel="0" collapsed="false">
      <c r="A12" s="53" t="s">
        <v>207</v>
      </c>
      <c r="B12" s="5" t="s">
        <v>208</v>
      </c>
      <c r="C12" s="5" t="s">
        <v>209</v>
      </c>
      <c r="D12" s="54" t="s">
        <v>210</v>
      </c>
      <c r="E12" s="54" t="s">
        <v>26</v>
      </c>
      <c r="F12" s="54" t="s">
        <v>93</v>
      </c>
      <c r="G12" s="54" t="n">
        <v>3</v>
      </c>
      <c r="H12" s="5" t="s">
        <v>238</v>
      </c>
    </row>
    <row r="13" customFormat="false" ht="30" hidden="false" customHeight="true" outlineLevel="0" collapsed="false">
      <c r="A13" s="55" t="s">
        <v>220</v>
      </c>
      <c r="B13" s="8" t="s">
        <v>208</v>
      </c>
      <c r="C13" s="8" t="s">
        <v>221</v>
      </c>
      <c r="D13" s="56" t="s">
        <v>201</v>
      </c>
      <c r="E13" s="56" t="s">
        <v>26</v>
      </c>
      <c r="F13" s="56" t="s">
        <v>218</v>
      </c>
      <c r="G13" s="56" t="n">
        <v>1</v>
      </c>
      <c r="H13" s="8" t="s">
        <v>221</v>
      </c>
    </row>
    <row r="14" customFormat="false" ht="30" hidden="false" customHeight="true" outlineLevel="0" collapsed="false">
      <c r="A14" s="53" t="s">
        <v>224</v>
      </c>
      <c r="B14" s="5" t="s">
        <v>208</v>
      </c>
      <c r="C14" s="5" t="s">
        <v>225</v>
      </c>
      <c r="D14" s="54" t="s">
        <v>210</v>
      </c>
      <c r="E14" s="54" t="s">
        <v>26</v>
      </c>
      <c r="F14" s="54" t="s">
        <v>93</v>
      </c>
      <c r="G14" s="54" t="n">
        <v>1</v>
      </c>
      <c r="H14" s="5" t="s">
        <v>239</v>
      </c>
    </row>
    <row r="16" customFormat="false" ht="15" hidden="false" customHeight="false" outlineLevel="0" collapsed="false">
      <c r="A16" s="58" t="s">
        <v>240</v>
      </c>
    </row>
    <row r="17" customFormat="false" ht="23.85" hidden="false" customHeight="false" outlineLevel="0" collapsed="false">
      <c r="A17" s="3" t="s">
        <v>78</v>
      </c>
      <c r="B17" s="3" t="s">
        <v>80</v>
      </c>
      <c r="C17" s="3" t="s">
        <v>47</v>
      </c>
      <c r="D17" s="3" t="s">
        <v>82</v>
      </c>
    </row>
    <row r="18" customFormat="false" ht="25.5" hidden="false" customHeight="true" outlineLevel="0" collapsed="false">
      <c r="A18" s="54" t="s">
        <v>99</v>
      </c>
      <c r="B18" s="5" t="s">
        <v>100</v>
      </c>
      <c r="C18" s="54" t="s">
        <v>32</v>
      </c>
      <c r="D18" s="54" t="s">
        <v>92</v>
      </c>
    </row>
    <row r="19" customFormat="false" ht="25.5" hidden="false" customHeight="true" outlineLevel="0" collapsed="false">
      <c r="A19" s="56" t="s">
        <v>101</v>
      </c>
      <c r="B19" s="8" t="s">
        <v>103</v>
      </c>
      <c r="C19" s="56" t="s">
        <v>14</v>
      </c>
      <c r="D19" s="56" t="s">
        <v>92</v>
      </c>
    </row>
    <row r="20" customFormat="false" ht="25.5" hidden="false" customHeight="true" outlineLevel="0" collapsed="false">
      <c r="A20" s="54" t="s">
        <v>113</v>
      </c>
      <c r="B20" s="5" t="s">
        <v>114</v>
      </c>
      <c r="C20" s="54" t="s">
        <v>14</v>
      </c>
      <c r="D20" s="54" t="s">
        <v>92</v>
      </c>
    </row>
    <row r="21" customFormat="false" ht="25.5" hidden="false" customHeight="true" outlineLevel="0" collapsed="false">
      <c r="A21" s="56" t="s">
        <v>121</v>
      </c>
      <c r="B21" s="8" t="s">
        <v>122</v>
      </c>
      <c r="C21" s="56" t="s">
        <v>32</v>
      </c>
      <c r="D21" s="56" t="s">
        <v>92</v>
      </c>
    </row>
    <row r="22" customFormat="false" ht="25.5" hidden="false" customHeight="true" outlineLevel="0" collapsed="false">
      <c r="A22" s="54" t="s">
        <v>131</v>
      </c>
      <c r="B22" s="5" t="s">
        <v>133</v>
      </c>
      <c r="C22" s="54" t="s">
        <v>20</v>
      </c>
      <c r="D22" s="54" t="s">
        <v>128</v>
      </c>
    </row>
    <row r="23" customFormat="false" ht="25.5" hidden="false" customHeight="true" outlineLevel="0" collapsed="false">
      <c r="A23" s="56" t="s">
        <v>174</v>
      </c>
      <c r="B23" s="8" t="s">
        <v>176</v>
      </c>
      <c r="C23" s="56" t="s">
        <v>32</v>
      </c>
      <c r="D23" s="56" t="s">
        <v>150</v>
      </c>
    </row>
    <row r="24" customFormat="false" ht="25.5" hidden="false" customHeight="true" outlineLevel="0" collapsed="false">
      <c r="A24" s="54" t="s">
        <v>198</v>
      </c>
      <c r="B24" s="5" t="s">
        <v>200</v>
      </c>
      <c r="C24" s="54" t="s">
        <v>32</v>
      </c>
      <c r="D24" s="54" t="s">
        <v>201</v>
      </c>
    </row>
    <row r="25" customFormat="false" ht="25.5" hidden="false" customHeight="true" outlineLevel="0" collapsed="false">
      <c r="A25" s="56" t="s">
        <v>211</v>
      </c>
      <c r="B25" s="8" t="s">
        <v>212</v>
      </c>
      <c r="C25" s="56" t="s">
        <v>14</v>
      </c>
      <c r="D25" s="56" t="s">
        <v>213</v>
      </c>
    </row>
    <row r="26" customFormat="false" ht="25.5" hidden="false" customHeight="true" outlineLevel="0" collapsed="false">
      <c r="A26" s="54" t="s">
        <v>216</v>
      </c>
      <c r="B26" s="5" t="s">
        <v>217</v>
      </c>
      <c r="C26" s="54" t="s">
        <v>26</v>
      </c>
      <c r="D26" s="54" t="s">
        <v>201</v>
      </c>
    </row>
    <row r="27" customFormat="false" ht="25.5" hidden="false" customHeight="true" outlineLevel="0" collapsed="false">
      <c r="A27" s="56" t="s">
        <v>218</v>
      </c>
      <c r="B27" s="8" t="s">
        <v>219</v>
      </c>
      <c r="C27" s="56" t="s">
        <v>32</v>
      </c>
      <c r="D27" s="56" t="s">
        <v>201</v>
      </c>
    </row>
    <row r="28" customFormat="false" ht="25.5" hidden="false" customHeight="true" outlineLevel="0" collapsed="false">
      <c r="A28" s="54" t="s">
        <v>222</v>
      </c>
      <c r="B28" s="5" t="s">
        <v>223</v>
      </c>
      <c r="C28" s="54" t="s">
        <v>20</v>
      </c>
      <c r="D28" s="54" t="s">
        <v>201</v>
      </c>
    </row>
    <row r="29" customFormat="false" ht="25.5" hidden="false" customHeight="true" outlineLevel="0" collapsed="false">
      <c r="A29" s="56" t="s">
        <v>226</v>
      </c>
      <c r="B29" s="8" t="s">
        <v>227</v>
      </c>
      <c r="C29" s="56" t="s">
        <v>32</v>
      </c>
      <c r="D29" s="56" t="s">
        <v>201</v>
      </c>
    </row>
  </sheetData>
  <mergeCells count="2">
    <mergeCell ref="A1:H1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50"/>
    <col collapsed="false" customWidth="true" hidden="false" outlineLevel="0" max="5" min="4" style="0" width="9"/>
    <col collapsed="false" customWidth="true" hidden="false" outlineLevel="0" max="6" min="6" style="0" width="15"/>
    <col collapsed="false" customWidth="true" hidden="false" outlineLevel="0" max="7" min="7" style="0" width="8"/>
    <col collapsed="false" customWidth="true" hidden="false" outlineLevel="0" max="8" min="8" style="0" width="30"/>
  </cols>
  <sheetData>
    <row r="1" customFormat="false" ht="25.5" hidden="false" customHeight="true" outlineLevel="0" collapsed="false">
      <c r="A1" s="50" t="s">
        <v>241</v>
      </c>
      <c r="B1" s="50"/>
      <c r="C1" s="50"/>
      <c r="D1" s="50"/>
      <c r="E1" s="50"/>
      <c r="F1" s="50"/>
      <c r="G1" s="50"/>
      <c r="H1" s="50"/>
    </row>
    <row r="3" customFormat="false" ht="15" hidden="false" customHeight="false" outlineLevel="0" collapsed="false">
      <c r="A3" s="51" t="s">
        <v>242</v>
      </c>
      <c r="B3" s="51"/>
      <c r="C3" s="51"/>
      <c r="D3" s="51"/>
      <c r="E3" s="51"/>
      <c r="F3" s="51"/>
      <c r="G3" s="51"/>
      <c r="H3" s="51"/>
    </row>
    <row r="4" customFormat="false" ht="15" hidden="false" customHeight="false" outlineLevel="0" collapsed="false">
      <c r="A4" s="52" t="s">
        <v>230</v>
      </c>
    </row>
    <row r="5" customFormat="false" ht="23.85" hidden="false" customHeight="false" outlineLevel="0" collapsed="false">
      <c r="A5" s="3" t="s">
        <v>78</v>
      </c>
      <c r="B5" s="3" t="s">
        <v>79</v>
      </c>
      <c r="C5" s="3" t="s">
        <v>80</v>
      </c>
      <c r="D5" s="3" t="s">
        <v>82</v>
      </c>
      <c r="E5" s="3" t="s">
        <v>83</v>
      </c>
      <c r="F5" s="3" t="s">
        <v>84</v>
      </c>
      <c r="G5" s="3" t="s">
        <v>85</v>
      </c>
      <c r="H5" s="3" t="s">
        <v>231</v>
      </c>
    </row>
    <row r="6" customFormat="false" ht="30" hidden="false" customHeight="true" outlineLevel="0" collapsed="false">
      <c r="A6" s="53" t="s">
        <v>101</v>
      </c>
      <c r="B6" s="5" t="s">
        <v>102</v>
      </c>
      <c r="C6" s="5" t="s">
        <v>103</v>
      </c>
      <c r="D6" s="54" t="s">
        <v>92</v>
      </c>
      <c r="E6" s="54" t="s">
        <v>57</v>
      </c>
      <c r="F6" s="54" t="s">
        <v>93</v>
      </c>
      <c r="G6" s="54" t="n">
        <v>1</v>
      </c>
      <c r="H6" s="5" t="s">
        <v>243</v>
      </c>
    </row>
    <row r="7" customFormat="false" ht="30" hidden="false" customHeight="true" outlineLevel="0" collapsed="false">
      <c r="A7" s="55" t="s">
        <v>104</v>
      </c>
      <c r="B7" s="8" t="s">
        <v>102</v>
      </c>
      <c r="C7" s="8" t="s">
        <v>105</v>
      </c>
      <c r="D7" s="56" t="s">
        <v>92</v>
      </c>
      <c r="E7" s="56" t="s">
        <v>57</v>
      </c>
      <c r="F7" s="56" t="s">
        <v>99</v>
      </c>
      <c r="G7" s="56" t="n">
        <v>1</v>
      </c>
      <c r="H7" s="8" t="s">
        <v>244</v>
      </c>
    </row>
    <row r="8" customFormat="false" ht="30" hidden="false" customHeight="true" outlineLevel="0" collapsed="false">
      <c r="A8" s="53" t="s">
        <v>106</v>
      </c>
      <c r="B8" s="5" t="s">
        <v>102</v>
      </c>
      <c r="C8" s="6" t="s">
        <v>107</v>
      </c>
      <c r="D8" s="54" t="s">
        <v>108</v>
      </c>
      <c r="E8" s="54" t="s">
        <v>57</v>
      </c>
      <c r="F8" s="54" t="s">
        <v>104</v>
      </c>
      <c r="G8" s="54" t="n">
        <v>2</v>
      </c>
      <c r="H8" s="5" t="s">
        <v>245</v>
      </c>
    </row>
    <row r="9" customFormat="false" ht="30" hidden="false" customHeight="true" outlineLevel="0" collapsed="false">
      <c r="A9" s="55" t="s">
        <v>109</v>
      </c>
      <c r="B9" s="8" t="s">
        <v>102</v>
      </c>
      <c r="C9" s="8" t="s">
        <v>110</v>
      </c>
      <c r="D9" s="56" t="s">
        <v>92</v>
      </c>
      <c r="E9" s="56" t="s">
        <v>57</v>
      </c>
      <c r="F9" s="56" t="s">
        <v>104</v>
      </c>
      <c r="G9" s="56" t="n">
        <v>1</v>
      </c>
      <c r="H9" s="8" t="s">
        <v>246</v>
      </c>
    </row>
    <row r="10" customFormat="false" ht="30" hidden="false" customHeight="true" outlineLevel="0" collapsed="false">
      <c r="A10" s="53" t="s">
        <v>111</v>
      </c>
      <c r="B10" s="5" t="s">
        <v>102</v>
      </c>
      <c r="C10" s="5" t="s">
        <v>112</v>
      </c>
      <c r="D10" s="54" t="s">
        <v>92</v>
      </c>
      <c r="E10" s="54" t="s">
        <v>57</v>
      </c>
      <c r="F10" s="54" t="s">
        <v>104</v>
      </c>
      <c r="G10" s="54" t="n">
        <v>1</v>
      </c>
      <c r="H10" s="5" t="s">
        <v>247</v>
      </c>
    </row>
    <row r="11" customFormat="false" ht="30" hidden="false" customHeight="true" outlineLevel="0" collapsed="false">
      <c r="A11" s="55" t="s">
        <v>113</v>
      </c>
      <c r="B11" s="8" t="s">
        <v>102</v>
      </c>
      <c r="C11" s="8" t="s">
        <v>114</v>
      </c>
      <c r="D11" s="56" t="s">
        <v>92</v>
      </c>
      <c r="E11" s="56" t="s">
        <v>57</v>
      </c>
      <c r="F11" s="56" t="s">
        <v>115</v>
      </c>
      <c r="G11" s="56" t="n">
        <v>1</v>
      </c>
      <c r="H11" s="8" t="s">
        <v>248</v>
      </c>
    </row>
    <row r="12" customFormat="false" ht="30" hidden="false" customHeight="true" outlineLevel="0" collapsed="false">
      <c r="A12" s="53" t="s">
        <v>144</v>
      </c>
      <c r="B12" s="5" t="s">
        <v>145</v>
      </c>
      <c r="C12" s="6" t="s">
        <v>146</v>
      </c>
      <c r="D12" s="54" t="s">
        <v>128</v>
      </c>
      <c r="E12" s="54" t="s">
        <v>8</v>
      </c>
      <c r="F12" s="54" t="s">
        <v>147</v>
      </c>
      <c r="G12" s="54" t="n">
        <v>2</v>
      </c>
      <c r="H12" s="5" t="s">
        <v>249</v>
      </c>
    </row>
    <row r="13" customFormat="false" ht="30" hidden="false" customHeight="true" outlineLevel="0" collapsed="false">
      <c r="A13" s="55" t="s">
        <v>148</v>
      </c>
      <c r="B13" s="8" t="s">
        <v>145</v>
      </c>
      <c r="C13" s="8" t="s">
        <v>149</v>
      </c>
      <c r="D13" s="56" t="s">
        <v>150</v>
      </c>
      <c r="E13" s="56" t="s">
        <v>14</v>
      </c>
      <c r="F13" s="56" t="s">
        <v>144</v>
      </c>
      <c r="G13" s="56" t="n">
        <v>1</v>
      </c>
      <c r="H13" s="8" t="s">
        <v>250</v>
      </c>
    </row>
    <row r="14" customFormat="false" ht="30" hidden="false" customHeight="true" outlineLevel="0" collapsed="false">
      <c r="A14" s="53" t="s">
        <v>151</v>
      </c>
      <c r="B14" s="5" t="s">
        <v>145</v>
      </c>
      <c r="C14" s="6" t="s">
        <v>152</v>
      </c>
      <c r="D14" s="54" t="s">
        <v>150</v>
      </c>
      <c r="E14" s="54" t="s">
        <v>14</v>
      </c>
      <c r="F14" s="54" t="s">
        <v>144</v>
      </c>
      <c r="G14" s="54" t="n">
        <v>1</v>
      </c>
      <c r="H14" s="5" t="s">
        <v>251</v>
      </c>
    </row>
    <row r="15" customFormat="false" ht="30" hidden="false" customHeight="true" outlineLevel="0" collapsed="false">
      <c r="A15" s="55" t="s">
        <v>211</v>
      </c>
      <c r="B15" s="8" t="s">
        <v>208</v>
      </c>
      <c r="C15" s="8" t="s">
        <v>212</v>
      </c>
      <c r="D15" s="56" t="s">
        <v>213</v>
      </c>
      <c r="E15" s="56" t="s">
        <v>26</v>
      </c>
      <c r="F15" s="56" t="s">
        <v>93</v>
      </c>
      <c r="G15" s="56" t="n">
        <v>2</v>
      </c>
      <c r="H15" s="8" t="s">
        <v>252</v>
      </c>
    </row>
    <row r="17" customFormat="false" ht="15" hidden="false" customHeight="false" outlineLevel="0" collapsed="false">
      <c r="A17" s="58" t="s">
        <v>240</v>
      </c>
    </row>
    <row r="18" customFormat="false" ht="23.85" hidden="false" customHeight="false" outlineLevel="0" collapsed="false">
      <c r="A18" s="3" t="s">
        <v>78</v>
      </c>
      <c r="B18" s="3" t="s">
        <v>80</v>
      </c>
      <c r="C18" s="3" t="s">
        <v>47</v>
      </c>
      <c r="D18" s="3" t="s">
        <v>82</v>
      </c>
    </row>
    <row r="19" customFormat="false" ht="25.5" hidden="false" customHeight="true" outlineLevel="0" collapsed="false">
      <c r="A19" s="54" t="s">
        <v>88</v>
      </c>
      <c r="B19" s="5" t="s">
        <v>90</v>
      </c>
      <c r="C19" s="54" t="s">
        <v>8</v>
      </c>
      <c r="D19" s="54" t="s">
        <v>92</v>
      </c>
    </row>
    <row r="20" customFormat="false" ht="25.5" hidden="false" customHeight="true" outlineLevel="0" collapsed="false">
      <c r="A20" s="56" t="s">
        <v>97</v>
      </c>
      <c r="B20" s="8" t="s">
        <v>98</v>
      </c>
      <c r="C20" s="56" t="s">
        <v>26</v>
      </c>
      <c r="D20" s="56" t="s">
        <v>92</v>
      </c>
    </row>
    <row r="21" customFormat="false" ht="25.5" hidden="false" customHeight="true" outlineLevel="0" collapsed="false">
      <c r="A21" s="54" t="s">
        <v>99</v>
      </c>
      <c r="B21" s="5" t="s">
        <v>100</v>
      </c>
      <c r="C21" s="54" t="s">
        <v>32</v>
      </c>
      <c r="D21" s="54" t="s">
        <v>92</v>
      </c>
    </row>
    <row r="22" customFormat="false" ht="25.5" hidden="false" customHeight="true" outlineLevel="0" collapsed="false">
      <c r="A22" s="56" t="s">
        <v>116</v>
      </c>
      <c r="B22" s="8" t="s">
        <v>117</v>
      </c>
      <c r="C22" s="56" t="s">
        <v>32</v>
      </c>
      <c r="D22" s="56" t="s">
        <v>108</v>
      </c>
    </row>
    <row r="23" customFormat="false" ht="25.5" hidden="false" customHeight="true" outlineLevel="0" collapsed="false">
      <c r="A23" s="54" t="s">
        <v>123</v>
      </c>
      <c r="B23" s="5" t="s">
        <v>124</v>
      </c>
      <c r="C23" s="54" t="s">
        <v>8</v>
      </c>
      <c r="D23" s="54" t="s">
        <v>92</v>
      </c>
    </row>
    <row r="24" customFormat="false" ht="25.5" hidden="false" customHeight="true" outlineLevel="0" collapsed="false">
      <c r="A24" s="56" t="s">
        <v>161</v>
      </c>
      <c r="B24" s="8" t="s">
        <v>162</v>
      </c>
      <c r="C24" s="56" t="s">
        <v>26</v>
      </c>
      <c r="D24" s="56" t="s">
        <v>150</v>
      </c>
    </row>
    <row r="25" customFormat="false" ht="25.5" hidden="false" customHeight="true" outlineLevel="0" collapsed="false">
      <c r="A25" s="54" t="s">
        <v>182</v>
      </c>
      <c r="B25" s="5" t="s">
        <v>183</v>
      </c>
      <c r="C25" s="54" t="s">
        <v>32</v>
      </c>
      <c r="D25" s="54" t="s">
        <v>150</v>
      </c>
    </row>
    <row r="26" customFormat="false" ht="25.5" hidden="false" customHeight="true" outlineLevel="0" collapsed="false">
      <c r="A26" s="56" t="s">
        <v>188</v>
      </c>
      <c r="B26" s="8" t="s">
        <v>189</v>
      </c>
      <c r="C26" s="56" t="s">
        <v>32</v>
      </c>
      <c r="D26" s="56" t="s">
        <v>150</v>
      </c>
    </row>
    <row r="27" customFormat="false" ht="25.5" hidden="false" customHeight="true" outlineLevel="0" collapsed="false">
      <c r="A27" s="54" t="s">
        <v>216</v>
      </c>
      <c r="B27" s="5" t="s">
        <v>217</v>
      </c>
      <c r="C27" s="54" t="s">
        <v>26</v>
      </c>
      <c r="D27" s="54" t="s">
        <v>201</v>
      </c>
    </row>
    <row r="28" customFormat="false" ht="25.5" hidden="false" customHeight="true" outlineLevel="0" collapsed="false">
      <c r="A28" s="56" t="s">
        <v>218</v>
      </c>
      <c r="B28" s="8" t="s">
        <v>219</v>
      </c>
      <c r="C28" s="56" t="s">
        <v>32</v>
      </c>
      <c r="D28" s="56" t="s">
        <v>201</v>
      </c>
    </row>
    <row r="29" customFormat="false" ht="25.5" hidden="false" customHeight="true" outlineLevel="0" collapsed="false">
      <c r="A29" s="54" t="s">
        <v>222</v>
      </c>
      <c r="B29" s="5" t="s">
        <v>223</v>
      </c>
      <c r="C29" s="54" t="s">
        <v>20</v>
      </c>
      <c r="D29" s="54" t="s">
        <v>201</v>
      </c>
    </row>
    <row r="30" customFormat="false" ht="25.5" hidden="false" customHeight="true" outlineLevel="0" collapsed="false">
      <c r="A30" s="56" t="s">
        <v>224</v>
      </c>
      <c r="B30" s="8" t="s">
        <v>225</v>
      </c>
      <c r="C30" s="56" t="s">
        <v>8</v>
      </c>
      <c r="D30" s="56" t="s">
        <v>210</v>
      </c>
    </row>
    <row r="31" customFormat="false" ht="25.5" hidden="false" customHeight="true" outlineLevel="0" collapsed="false">
      <c r="A31" s="54" t="s">
        <v>226</v>
      </c>
      <c r="B31" s="5" t="s">
        <v>227</v>
      </c>
      <c r="C31" s="54" t="s">
        <v>32</v>
      </c>
      <c r="D31" s="54" t="s">
        <v>201</v>
      </c>
    </row>
  </sheetData>
  <mergeCells count="2">
    <mergeCell ref="A1:H1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50"/>
    <col collapsed="false" customWidth="true" hidden="false" outlineLevel="0" max="5" min="4" style="0" width="9"/>
    <col collapsed="false" customWidth="true" hidden="false" outlineLevel="0" max="6" min="6" style="0" width="15"/>
    <col collapsed="false" customWidth="true" hidden="false" outlineLevel="0" max="7" min="7" style="0" width="8"/>
    <col collapsed="false" customWidth="true" hidden="false" outlineLevel="0" max="8" min="8" style="0" width="30"/>
  </cols>
  <sheetData>
    <row r="1" customFormat="false" ht="25.5" hidden="false" customHeight="true" outlineLevel="0" collapsed="false">
      <c r="A1" s="50" t="s">
        <v>21</v>
      </c>
      <c r="B1" s="50"/>
      <c r="C1" s="50"/>
      <c r="D1" s="50"/>
      <c r="E1" s="50"/>
      <c r="F1" s="50"/>
      <c r="G1" s="50"/>
      <c r="H1" s="50"/>
    </row>
    <row r="3" customFormat="false" ht="15" hidden="false" customHeight="false" outlineLevel="0" collapsed="false">
      <c r="A3" s="51" t="s">
        <v>253</v>
      </c>
      <c r="B3" s="51"/>
      <c r="C3" s="51"/>
      <c r="D3" s="51"/>
      <c r="E3" s="51"/>
      <c r="F3" s="51"/>
      <c r="G3" s="51"/>
      <c r="H3" s="51"/>
    </row>
    <row r="4" customFormat="false" ht="15" hidden="false" customHeight="false" outlineLevel="0" collapsed="false">
      <c r="A4" s="52" t="s">
        <v>230</v>
      </c>
    </row>
    <row r="5" customFormat="false" ht="23.85" hidden="false" customHeight="false" outlineLevel="0" collapsed="false">
      <c r="A5" s="3" t="s">
        <v>78</v>
      </c>
      <c r="B5" s="3" t="s">
        <v>79</v>
      </c>
      <c r="C5" s="3" t="s">
        <v>80</v>
      </c>
      <c r="D5" s="3" t="s">
        <v>82</v>
      </c>
      <c r="E5" s="3" t="s">
        <v>83</v>
      </c>
      <c r="F5" s="3" t="s">
        <v>84</v>
      </c>
      <c r="G5" s="3" t="s">
        <v>85</v>
      </c>
      <c r="H5" s="3" t="s">
        <v>231</v>
      </c>
    </row>
    <row r="6" customFormat="false" ht="30" hidden="false" customHeight="true" outlineLevel="0" collapsed="false">
      <c r="A6" s="53" t="s">
        <v>131</v>
      </c>
      <c r="B6" s="5" t="s">
        <v>132</v>
      </c>
      <c r="C6" s="5" t="s">
        <v>133</v>
      </c>
      <c r="D6" s="54" t="s">
        <v>128</v>
      </c>
      <c r="E6" s="54" t="s">
        <v>8</v>
      </c>
      <c r="F6" s="54" t="s">
        <v>113</v>
      </c>
      <c r="G6" s="54" t="n">
        <v>2</v>
      </c>
      <c r="H6" s="5" t="s">
        <v>254</v>
      </c>
    </row>
    <row r="7" customFormat="false" ht="30" hidden="false" customHeight="true" outlineLevel="0" collapsed="false">
      <c r="A7" s="55" t="s">
        <v>134</v>
      </c>
      <c r="B7" s="8" t="s">
        <v>132</v>
      </c>
      <c r="C7" s="8" t="s">
        <v>135</v>
      </c>
      <c r="D7" s="56" t="s">
        <v>128</v>
      </c>
      <c r="E7" s="56" t="s">
        <v>8</v>
      </c>
      <c r="F7" s="56" t="s">
        <v>131</v>
      </c>
      <c r="G7" s="56" t="n">
        <v>1</v>
      </c>
      <c r="H7" s="8" t="s">
        <v>255</v>
      </c>
    </row>
    <row r="8" customFormat="false" ht="30" hidden="false" customHeight="true" outlineLevel="0" collapsed="false">
      <c r="A8" s="53" t="s">
        <v>136</v>
      </c>
      <c r="B8" s="5" t="s">
        <v>132</v>
      </c>
      <c r="C8" s="5" t="s">
        <v>137</v>
      </c>
      <c r="D8" s="54" t="s">
        <v>128</v>
      </c>
      <c r="E8" s="54" t="s">
        <v>8</v>
      </c>
      <c r="F8" s="54" t="s">
        <v>131</v>
      </c>
      <c r="G8" s="54" t="n">
        <v>1</v>
      </c>
      <c r="H8" s="5" t="s">
        <v>256</v>
      </c>
    </row>
    <row r="9" customFormat="false" ht="30" hidden="false" customHeight="true" outlineLevel="0" collapsed="false">
      <c r="A9" s="55" t="s">
        <v>138</v>
      </c>
      <c r="B9" s="8" t="s">
        <v>132</v>
      </c>
      <c r="C9" s="9" t="s">
        <v>139</v>
      </c>
      <c r="D9" s="56" t="s">
        <v>128</v>
      </c>
      <c r="E9" s="56" t="s">
        <v>8</v>
      </c>
      <c r="F9" s="56" t="s">
        <v>140</v>
      </c>
      <c r="G9" s="56" t="n">
        <v>2</v>
      </c>
      <c r="H9" s="8" t="s">
        <v>257</v>
      </c>
    </row>
    <row r="10" customFormat="false" ht="30" hidden="false" customHeight="true" outlineLevel="0" collapsed="false">
      <c r="A10" s="53" t="s">
        <v>141</v>
      </c>
      <c r="B10" s="5" t="s">
        <v>132</v>
      </c>
      <c r="C10" s="5" t="s">
        <v>142</v>
      </c>
      <c r="D10" s="54" t="s">
        <v>128</v>
      </c>
      <c r="E10" s="54" t="s">
        <v>8</v>
      </c>
      <c r="F10" s="54" t="s">
        <v>143</v>
      </c>
      <c r="G10" s="54" t="n">
        <v>1</v>
      </c>
      <c r="H10" s="5" t="s">
        <v>258</v>
      </c>
    </row>
    <row r="11" customFormat="false" ht="30" hidden="false" customHeight="true" outlineLevel="0" collapsed="false">
      <c r="A11" s="55" t="s">
        <v>153</v>
      </c>
      <c r="B11" s="8" t="s">
        <v>154</v>
      </c>
      <c r="C11" s="9" t="s">
        <v>155</v>
      </c>
      <c r="D11" s="56" t="s">
        <v>150</v>
      </c>
      <c r="E11" s="56" t="s">
        <v>14</v>
      </c>
      <c r="F11" s="56" t="s">
        <v>138</v>
      </c>
      <c r="G11" s="56" t="n">
        <v>2</v>
      </c>
      <c r="H11" s="8" t="s">
        <v>259</v>
      </c>
    </row>
    <row r="12" customFormat="false" ht="30" hidden="false" customHeight="true" outlineLevel="0" collapsed="false">
      <c r="A12" s="53" t="s">
        <v>214</v>
      </c>
      <c r="B12" s="5" t="s">
        <v>208</v>
      </c>
      <c r="C12" s="5" t="s">
        <v>215</v>
      </c>
      <c r="D12" s="54" t="s">
        <v>213</v>
      </c>
      <c r="E12" s="54" t="s">
        <v>26</v>
      </c>
      <c r="F12" s="54" t="s">
        <v>93</v>
      </c>
      <c r="G12" s="54" t="n">
        <v>2</v>
      </c>
      <c r="H12" s="5" t="s">
        <v>260</v>
      </c>
    </row>
    <row r="13" customFormat="false" ht="30" hidden="false" customHeight="true" outlineLevel="0" collapsed="false">
      <c r="A13" s="55" t="s">
        <v>222</v>
      </c>
      <c r="B13" s="8" t="s">
        <v>208</v>
      </c>
      <c r="C13" s="8" t="s">
        <v>223</v>
      </c>
      <c r="D13" s="56" t="s">
        <v>201</v>
      </c>
      <c r="E13" s="56" t="s">
        <v>26</v>
      </c>
      <c r="F13" s="56" t="s">
        <v>198</v>
      </c>
      <c r="G13" s="56" t="n">
        <v>2</v>
      </c>
      <c r="H13" s="8" t="s">
        <v>261</v>
      </c>
    </row>
    <row r="15" customFormat="false" ht="15" hidden="false" customHeight="false" outlineLevel="0" collapsed="false">
      <c r="A15" s="58" t="s">
        <v>240</v>
      </c>
    </row>
    <row r="16" customFormat="false" ht="23.85" hidden="false" customHeight="false" outlineLevel="0" collapsed="false">
      <c r="A16" s="3" t="s">
        <v>78</v>
      </c>
      <c r="B16" s="3" t="s">
        <v>80</v>
      </c>
      <c r="C16" s="3" t="s">
        <v>47</v>
      </c>
      <c r="D16" s="3" t="s">
        <v>82</v>
      </c>
    </row>
    <row r="17" customFormat="false" ht="25.5" hidden="false" customHeight="true" outlineLevel="0" collapsed="false">
      <c r="A17" s="54" t="s">
        <v>88</v>
      </c>
      <c r="B17" s="5" t="s">
        <v>90</v>
      </c>
      <c r="C17" s="54" t="s">
        <v>8</v>
      </c>
      <c r="D17" s="54" t="s">
        <v>92</v>
      </c>
    </row>
    <row r="18" customFormat="false" ht="25.5" hidden="false" customHeight="true" outlineLevel="0" collapsed="false">
      <c r="A18" s="56" t="s">
        <v>99</v>
      </c>
      <c r="B18" s="8" t="s">
        <v>100</v>
      </c>
      <c r="C18" s="56" t="s">
        <v>32</v>
      </c>
      <c r="D18" s="56" t="s">
        <v>92</v>
      </c>
    </row>
    <row r="19" customFormat="false" ht="25.5" hidden="false" customHeight="true" outlineLevel="0" collapsed="false">
      <c r="A19" s="54" t="s">
        <v>104</v>
      </c>
      <c r="B19" s="5" t="s">
        <v>105</v>
      </c>
      <c r="C19" s="54" t="s">
        <v>14</v>
      </c>
      <c r="D19" s="54" t="s">
        <v>92</v>
      </c>
    </row>
    <row r="20" customFormat="false" ht="25.5" hidden="false" customHeight="true" outlineLevel="0" collapsed="false">
      <c r="A20" s="56" t="s">
        <v>118</v>
      </c>
      <c r="B20" s="8" t="s">
        <v>120</v>
      </c>
      <c r="C20" s="56" t="s">
        <v>8</v>
      </c>
      <c r="D20" s="56" t="s">
        <v>92</v>
      </c>
    </row>
    <row r="21" customFormat="false" ht="25.5" hidden="false" customHeight="true" outlineLevel="0" collapsed="false">
      <c r="A21" s="54" t="s">
        <v>123</v>
      </c>
      <c r="B21" s="5" t="s">
        <v>124</v>
      </c>
      <c r="C21" s="54" t="s">
        <v>8</v>
      </c>
      <c r="D21" s="54" t="s">
        <v>92</v>
      </c>
    </row>
    <row r="22" customFormat="false" ht="25.5" hidden="false" customHeight="true" outlineLevel="0" collapsed="false">
      <c r="A22" s="56" t="s">
        <v>144</v>
      </c>
      <c r="B22" s="8" t="s">
        <v>146</v>
      </c>
      <c r="C22" s="56" t="s">
        <v>14</v>
      </c>
      <c r="D22" s="56" t="s">
        <v>128</v>
      </c>
    </row>
    <row r="23" customFormat="false" ht="25.5" hidden="false" customHeight="true" outlineLevel="0" collapsed="false">
      <c r="A23" s="54" t="s">
        <v>156</v>
      </c>
      <c r="B23" s="5" t="s">
        <v>158</v>
      </c>
      <c r="C23" s="54" t="s">
        <v>26</v>
      </c>
      <c r="D23" s="54" t="s">
        <v>150</v>
      </c>
    </row>
    <row r="24" customFormat="false" ht="25.5" hidden="false" customHeight="true" outlineLevel="0" collapsed="false">
      <c r="A24" s="56" t="s">
        <v>159</v>
      </c>
      <c r="B24" s="8" t="s">
        <v>160</v>
      </c>
      <c r="C24" s="56" t="s">
        <v>26</v>
      </c>
      <c r="D24" s="56" t="s">
        <v>150</v>
      </c>
    </row>
    <row r="25" customFormat="false" ht="25.5" hidden="false" customHeight="true" outlineLevel="0" collapsed="false">
      <c r="A25" s="54" t="s">
        <v>163</v>
      </c>
      <c r="B25" s="5" t="s">
        <v>164</v>
      </c>
      <c r="C25" s="54" t="s">
        <v>26</v>
      </c>
      <c r="D25" s="54" t="s">
        <v>150</v>
      </c>
    </row>
    <row r="26" customFormat="false" ht="25.5" hidden="false" customHeight="true" outlineLevel="0" collapsed="false">
      <c r="A26" s="56" t="s">
        <v>171</v>
      </c>
      <c r="B26" s="8" t="s">
        <v>172</v>
      </c>
      <c r="C26" s="56" t="s">
        <v>26</v>
      </c>
      <c r="D26" s="56" t="s">
        <v>173</v>
      </c>
    </row>
    <row r="27" customFormat="false" ht="25.5" hidden="false" customHeight="true" outlineLevel="0" collapsed="false">
      <c r="A27" s="54" t="s">
        <v>180</v>
      </c>
      <c r="B27" s="5" t="s">
        <v>181</v>
      </c>
      <c r="C27" s="54" t="s">
        <v>32</v>
      </c>
      <c r="D27" s="54" t="s">
        <v>150</v>
      </c>
    </row>
    <row r="28" customFormat="false" ht="25.5" hidden="false" customHeight="true" outlineLevel="0" collapsed="false">
      <c r="A28" s="56" t="s">
        <v>185</v>
      </c>
      <c r="B28" s="8" t="s">
        <v>187</v>
      </c>
      <c r="C28" s="56" t="s">
        <v>32</v>
      </c>
      <c r="D28" s="56" t="s">
        <v>150</v>
      </c>
    </row>
    <row r="29" customFormat="false" ht="25.5" hidden="false" customHeight="true" outlineLevel="0" collapsed="false">
      <c r="A29" s="54" t="s">
        <v>205</v>
      </c>
      <c r="B29" s="5" t="s">
        <v>206</v>
      </c>
      <c r="C29" s="54" t="s">
        <v>26</v>
      </c>
      <c r="D29" s="54" t="s">
        <v>201</v>
      </c>
    </row>
    <row r="30" customFormat="false" ht="25.5" hidden="false" customHeight="true" outlineLevel="0" collapsed="false">
      <c r="A30" s="56" t="s">
        <v>216</v>
      </c>
      <c r="B30" s="8" t="s">
        <v>217</v>
      </c>
      <c r="C30" s="56" t="s">
        <v>26</v>
      </c>
      <c r="D30" s="56" t="s">
        <v>201</v>
      </c>
    </row>
    <row r="31" customFormat="false" ht="25.5" hidden="false" customHeight="true" outlineLevel="0" collapsed="false">
      <c r="A31" s="54" t="s">
        <v>218</v>
      </c>
      <c r="B31" s="5" t="s">
        <v>219</v>
      </c>
      <c r="C31" s="54" t="s">
        <v>32</v>
      </c>
      <c r="D31" s="54" t="s">
        <v>201</v>
      </c>
    </row>
    <row r="32" customFormat="false" ht="25.5" hidden="false" customHeight="true" outlineLevel="0" collapsed="false">
      <c r="A32" s="56" t="s">
        <v>224</v>
      </c>
      <c r="B32" s="8" t="s">
        <v>225</v>
      </c>
      <c r="C32" s="56" t="s">
        <v>8</v>
      </c>
      <c r="D32" s="56" t="s">
        <v>210</v>
      </c>
    </row>
    <row r="33" customFormat="false" ht="25.5" hidden="false" customHeight="true" outlineLevel="0" collapsed="false">
      <c r="A33" s="54" t="s">
        <v>226</v>
      </c>
      <c r="B33" s="5" t="s">
        <v>227</v>
      </c>
      <c r="C33" s="54" t="s">
        <v>32</v>
      </c>
      <c r="D33" s="54" t="s">
        <v>201</v>
      </c>
    </row>
  </sheetData>
  <mergeCells count="2">
    <mergeCell ref="A1:H1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50"/>
    <col collapsed="false" customWidth="true" hidden="false" outlineLevel="0" max="5" min="4" style="0" width="9"/>
    <col collapsed="false" customWidth="true" hidden="false" outlineLevel="0" max="6" min="6" style="0" width="15"/>
    <col collapsed="false" customWidth="true" hidden="false" outlineLevel="0" max="7" min="7" style="0" width="8"/>
    <col collapsed="false" customWidth="true" hidden="false" outlineLevel="0" max="8" min="8" style="0" width="30"/>
  </cols>
  <sheetData>
    <row r="1" customFormat="false" ht="25.5" hidden="false" customHeight="true" outlineLevel="0" collapsed="false">
      <c r="A1" s="50" t="s">
        <v>27</v>
      </c>
      <c r="B1" s="50"/>
      <c r="C1" s="50"/>
      <c r="D1" s="50"/>
      <c r="E1" s="50"/>
      <c r="F1" s="50"/>
      <c r="G1" s="50"/>
      <c r="H1" s="50"/>
    </row>
    <row r="3" customFormat="false" ht="15" hidden="false" customHeight="false" outlineLevel="0" collapsed="false">
      <c r="A3" s="51" t="s">
        <v>262</v>
      </c>
      <c r="B3" s="51"/>
      <c r="C3" s="51"/>
      <c r="D3" s="51"/>
      <c r="E3" s="51"/>
      <c r="F3" s="51"/>
      <c r="G3" s="51"/>
      <c r="H3" s="51"/>
    </row>
    <row r="4" customFormat="false" ht="15" hidden="false" customHeight="false" outlineLevel="0" collapsed="false">
      <c r="A4" s="52" t="s">
        <v>230</v>
      </c>
    </row>
    <row r="5" customFormat="false" ht="23.85" hidden="false" customHeight="false" outlineLevel="0" collapsed="false">
      <c r="A5" s="3" t="s">
        <v>78</v>
      </c>
      <c r="B5" s="3" t="s">
        <v>79</v>
      </c>
      <c r="C5" s="3" t="s">
        <v>80</v>
      </c>
      <c r="D5" s="3" t="s">
        <v>82</v>
      </c>
      <c r="E5" s="3" t="s">
        <v>83</v>
      </c>
      <c r="F5" s="3" t="s">
        <v>84</v>
      </c>
      <c r="G5" s="3" t="s">
        <v>85</v>
      </c>
      <c r="H5" s="3" t="s">
        <v>231</v>
      </c>
    </row>
    <row r="6" customFormat="false" ht="30" hidden="false" customHeight="true" outlineLevel="0" collapsed="false">
      <c r="A6" s="53" t="s">
        <v>97</v>
      </c>
      <c r="B6" s="5" t="s">
        <v>89</v>
      </c>
      <c r="C6" s="5" t="s">
        <v>98</v>
      </c>
      <c r="D6" s="54" t="s">
        <v>92</v>
      </c>
      <c r="E6" s="54" t="s">
        <v>57</v>
      </c>
      <c r="F6" s="54" t="s">
        <v>88</v>
      </c>
      <c r="G6" s="54" t="n">
        <v>1</v>
      </c>
      <c r="H6" s="5" t="s">
        <v>263</v>
      </c>
    </row>
    <row r="7" customFormat="false" ht="30" hidden="false" customHeight="true" outlineLevel="0" collapsed="false">
      <c r="A7" s="55" t="s">
        <v>156</v>
      </c>
      <c r="B7" s="8" t="s">
        <v>157</v>
      </c>
      <c r="C7" s="9" t="s">
        <v>158</v>
      </c>
      <c r="D7" s="56" t="s">
        <v>150</v>
      </c>
      <c r="E7" s="56" t="s">
        <v>14</v>
      </c>
      <c r="F7" s="56" t="s">
        <v>138</v>
      </c>
      <c r="G7" s="56" t="n">
        <v>1</v>
      </c>
      <c r="H7" s="8" t="s">
        <v>264</v>
      </c>
    </row>
    <row r="8" customFormat="false" ht="30" hidden="false" customHeight="true" outlineLevel="0" collapsed="false">
      <c r="A8" s="53" t="s">
        <v>159</v>
      </c>
      <c r="B8" s="5" t="s">
        <v>157</v>
      </c>
      <c r="C8" s="6" t="s">
        <v>160</v>
      </c>
      <c r="D8" s="54" t="s">
        <v>150</v>
      </c>
      <c r="E8" s="54" t="s">
        <v>14</v>
      </c>
      <c r="F8" s="54" t="s">
        <v>138</v>
      </c>
      <c r="G8" s="54" t="n">
        <v>1</v>
      </c>
      <c r="H8" s="5" t="s">
        <v>265</v>
      </c>
    </row>
    <row r="9" customFormat="false" ht="30" hidden="false" customHeight="true" outlineLevel="0" collapsed="false">
      <c r="A9" s="55" t="s">
        <v>161</v>
      </c>
      <c r="B9" s="8" t="s">
        <v>157</v>
      </c>
      <c r="C9" s="9" t="s">
        <v>162</v>
      </c>
      <c r="D9" s="56" t="s">
        <v>150</v>
      </c>
      <c r="E9" s="56" t="s">
        <v>14</v>
      </c>
      <c r="F9" s="56" t="s">
        <v>144</v>
      </c>
      <c r="G9" s="56" t="n">
        <v>1</v>
      </c>
      <c r="H9" s="8" t="s">
        <v>266</v>
      </c>
    </row>
    <row r="10" customFormat="false" ht="30" hidden="false" customHeight="true" outlineLevel="0" collapsed="false">
      <c r="A10" s="53" t="s">
        <v>163</v>
      </c>
      <c r="B10" s="5" t="s">
        <v>157</v>
      </c>
      <c r="C10" s="6" t="s">
        <v>164</v>
      </c>
      <c r="D10" s="54" t="s">
        <v>150</v>
      </c>
      <c r="E10" s="54" t="s">
        <v>14</v>
      </c>
      <c r="F10" s="54" t="s">
        <v>134</v>
      </c>
      <c r="G10" s="54" t="n">
        <v>1</v>
      </c>
      <c r="H10" s="5" t="s">
        <v>267</v>
      </c>
    </row>
    <row r="11" customFormat="false" ht="30" hidden="false" customHeight="true" outlineLevel="0" collapsed="false">
      <c r="A11" s="55" t="s">
        <v>165</v>
      </c>
      <c r="B11" s="8" t="s">
        <v>166</v>
      </c>
      <c r="C11" s="57" t="s">
        <v>167</v>
      </c>
      <c r="D11" s="56" t="s">
        <v>150</v>
      </c>
      <c r="E11" s="56" t="s">
        <v>14</v>
      </c>
      <c r="F11" s="56" t="s">
        <v>138</v>
      </c>
      <c r="G11" s="56" t="n">
        <v>1</v>
      </c>
      <c r="H11" s="8" t="s">
        <v>268</v>
      </c>
    </row>
    <row r="12" customFormat="false" ht="30" hidden="false" customHeight="true" outlineLevel="0" collapsed="false">
      <c r="A12" s="53" t="s">
        <v>168</v>
      </c>
      <c r="B12" s="5" t="s">
        <v>166</v>
      </c>
      <c r="C12" s="5" t="s">
        <v>169</v>
      </c>
      <c r="D12" s="54" t="s">
        <v>150</v>
      </c>
      <c r="E12" s="54" t="s">
        <v>14</v>
      </c>
      <c r="F12" s="54" t="s">
        <v>170</v>
      </c>
      <c r="G12" s="54" t="n">
        <v>1</v>
      </c>
      <c r="H12" s="5" t="s">
        <v>269</v>
      </c>
    </row>
    <row r="13" customFormat="false" ht="30" hidden="false" customHeight="true" outlineLevel="0" collapsed="false">
      <c r="A13" s="55" t="s">
        <v>171</v>
      </c>
      <c r="B13" s="8" t="s">
        <v>166</v>
      </c>
      <c r="C13" s="8" t="s">
        <v>172</v>
      </c>
      <c r="D13" s="56" t="s">
        <v>173</v>
      </c>
      <c r="E13" s="56" t="s">
        <v>14</v>
      </c>
      <c r="F13" s="56" t="s">
        <v>168</v>
      </c>
      <c r="G13" s="56" t="n">
        <v>1</v>
      </c>
      <c r="H13" s="8" t="s">
        <v>270</v>
      </c>
    </row>
    <row r="14" customFormat="false" ht="30" hidden="false" customHeight="true" outlineLevel="0" collapsed="false">
      <c r="A14" s="53" t="s">
        <v>205</v>
      </c>
      <c r="B14" s="5" t="s">
        <v>199</v>
      </c>
      <c r="C14" s="5" t="s">
        <v>206</v>
      </c>
      <c r="D14" s="54" t="s">
        <v>201</v>
      </c>
      <c r="E14" s="54" t="s">
        <v>26</v>
      </c>
      <c r="F14" s="54" t="s">
        <v>198</v>
      </c>
      <c r="G14" s="54" t="n">
        <v>1</v>
      </c>
      <c r="H14" s="5" t="s">
        <v>271</v>
      </c>
    </row>
    <row r="15" customFormat="false" ht="30" hidden="false" customHeight="true" outlineLevel="0" collapsed="false">
      <c r="A15" s="55" t="s">
        <v>216</v>
      </c>
      <c r="B15" s="8" t="s">
        <v>208</v>
      </c>
      <c r="C15" s="8" t="s">
        <v>217</v>
      </c>
      <c r="D15" s="56" t="s">
        <v>201</v>
      </c>
      <c r="E15" s="56" t="s">
        <v>26</v>
      </c>
      <c r="F15" s="56" t="s">
        <v>198</v>
      </c>
      <c r="G15" s="56" t="n">
        <v>2</v>
      </c>
      <c r="H15" s="8" t="s">
        <v>272</v>
      </c>
    </row>
    <row r="17" customFormat="false" ht="15" hidden="false" customHeight="false" outlineLevel="0" collapsed="false">
      <c r="A17" s="58" t="s">
        <v>240</v>
      </c>
    </row>
    <row r="18" customFormat="false" ht="23.85" hidden="false" customHeight="false" outlineLevel="0" collapsed="false">
      <c r="A18" s="3" t="s">
        <v>78</v>
      </c>
      <c r="B18" s="3" t="s">
        <v>80</v>
      </c>
      <c r="C18" s="3" t="s">
        <v>47</v>
      </c>
      <c r="D18" s="3" t="s">
        <v>82</v>
      </c>
    </row>
    <row r="19" customFormat="false" ht="25.5" hidden="false" customHeight="true" outlineLevel="0" collapsed="false">
      <c r="A19" s="54" t="s">
        <v>88</v>
      </c>
      <c r="B19" s="5" t="s">
        <v>90</v>
      </c>
      <c r="C19" s="54" t="s">
        <v>8</v>
      </c>
      <c r="D19" s="54" t="s">
        <v>92</v>
      </c>
    </row>
    <row r="20" customFormat="false" ht="25.5" hidden="false" customHeight="true" outlineLevel="0" collapsed="false">
      <c r="A20" s="56" t="s">
        <v>99</v>
      </c>
      <c r="B20" s="8" t="s">
        <v>100</v>
      </c>
      <c r="C20" s="56" t="s">
        <v>32</v>
      </c>
      <c r="D20" s="56" t="s">
        <v>92</v>
      </c>
    </row>
    <row r="21" customFormat="false" ht="25.5" hidden="false" customHeight="true" outlineLevel="0" collapsed="false">
      <c r="A21" s="54" t="s">
        <v>109</v>
      </c>
      <c r="B21" s="5" t="s">
        <v>110</v>
      </c>
      <c r="C21" s="54" t="s">
        <v>14</v>
      </c>
      <c r="D21" s="54" t="s">
        <v>92</v>
      </c>
    </row>
    <row r="22" customFormat="false" ht="25.5" hidden="false" customHeight="true" outlineLevel="0" collapsed="false">
      <c r="A22" s="56" t="s">
        <v>123</v>
      </c>
      <c r="B22" s="8" t="s">
        <v>124</v>
      </c>
      <c r="C22" s="56" t="s">
        <v>8</v>
      </c>
      <c r="D22" s="56" t="s">
        <v>92</v>
      </c>
    </row>
    <row r="23" customFormat="false" ht="25.5" hidden="false" customHeight="true" outlineLevel="0" collapsed="false">
      <c r="A23" s="54" t="s">
        <v>141</v>
      </c>
      <c r="B23" s="5" t="s">
        <v>142</v>
      </c>
      <c r="C23" s="54" t="s">
        <v>20</v>
      </c>
      <c r="D23" s="54" t="s">
        <v>128</v>
      </c>
    </row>
    <row r="24" customFormat="false" ht="25.5" hidden="false" customHeight="true" outlineLevel="0" collapsed="false">
      <c r="A24" s="56" t="s">
        <v>153</v>
      </c>
      <c r="B24" s="8" t="s">
        <v>155</v>
      </c>
      <c r="C24" s="56" t="s">
        <v>20</v>
      </c>
      <c r="D24" s="56" t="s">
        <v>150</v>
      </c>
    </row>
    <row r="25" customFormat="false" ht="25.5" hidden="false" customHeight="true" outlineLevel="0" collapsed="false">
      <c r="A25" s="54" t="s">
        <v>194</v>
      </c>
      <c r="B25" s="5" t="s">
        <v>196</v>
      </c>
      <c r="C25" s="54" t="s">
        <v>32</v>
      </c>
      <c r="D25" s="54" t="s">
        <v>173</v>
      </c>
    </row>
    <row r="26" customFormat="false" ht="25.5" hidden="false" customHeight="true" outlineLevel="0" collapsed="false">
      <c r="A26" s="56" t="s">
        <v>203</v>
      </c>
      <c r="B26" s="8" t="s">
        <v>204</v>
      </c>
      <c r="C26" s="56" t="s">
        <v>32</v>
      </c>
      <c r="D26" s="56" t="s">
        <v>201</v>
      </c>
    </row>
    <row r="27" customFormat="false" ht="25.5" hidden="false" customHeight="true" outlineLevel="0" collapsed="false">
      <c r="A27" s="54" t="s">
        <v>218</v>
      </c>
      <c r="B27" s="5" t="s">
        <v>219</v>
      </c>
      <c r="C27" s="54" t="s">
        <v>32</v>
      </c>
      <c r="D27" s="54" t="s">
        <v>201</v>
      </c>
    </row>
    <row r="28" customFormat="false" ht="25.5" hidden="false" customHeight="true" outlineLevel="0" collapsed="false">
      <c r="A28" s="56" t="s">
        <v>222</v>
      </c>
      <c r="B28" s="8" t="s">
        <v>223</v>
      </c>
      <c r="C28" s="56" t="s">
        <v>20</v>
      </c>
      <c r="D28" s="56" t="s">
        <v>201</v>
      </c>
    </row>
    <row r="29" customFormat="false" ht="25.5" hidden="false" customHeight="true" outlineLevel="0" collapsed="false">
      <c r="A29" s="54" t="s">
        <v>224</v>
      </c>
      <c r="B29" s="5" t="s">
        <v>225</v>
      </c>
      <c r="C29" s="54" t="s">
        <v>8</v>
      </c>
      <c r="D29" s="54" t="s">
        <v>210</v>
      </c>
    </row>
    <row r="30" customFormat="false" ht="25.5" hidden="false" customHeight="true" outlineLevel="0" collapsed="false">
      <c r="A30" s="56" t="s">
        <v>226</v>
      </c>
      <c r="B30" s="8" t="s">
        <v>227</v>
      </c>
      <c r="C30" s="56" t="s">
        <v>32</v>
      </c>
      <c r="D30" s="56" t="s">
        <v>201</v>
      </c>
    </row>
  </sheetData>
  <mergeCells count="2">
    <mergeCell ref="A1:H1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50"/>
    <col collapsed="false" customWidth="true" hidden="false" outlineLevel="0" max="5" min="4" style="0" width="9"/>
    <col collapsed="false" customWidth="true" hidden="false" outlineLevel="0" max="6" min="6" style="0" width="15"/>
    <col collapsed="false" customWidth="true" hidden="false" outlineLevel="0" max="7" min="7" style="0" width="8"/>
    <col collapsed="false" customWidth="true" hidden="false" outlineLevel="0" max="8" min="8" style="0" width="30"/>
  </cols>
  <sheetData>
    <row r="1" customFormat="false" ht="25.5" hidden="false" customHeight="true" outlineLevel="0" collapsed="false">
      <c r="A1" s="50" t="s">
        <v>33</v>
      </c>
      <c r="B1" s="50"/>
      <c r="C1" s="50"/>
      <c r="D1" s="50"/>
      <c r="E1" s="50"/>
      <c r="F1" s="50"/>
      <c r="G1" s="50"/>
      <c r="H1" s="50"/>
    </row>
    <row r="3" customFormat="false" ht="15" hidden="false" customHeight="false" outlineLevel="0" collapsed="false">
      <c r="A3" s="51" t="s">
        <v>273</v>
      </c>
      <c r="B3" s="51"/>
      <c r="C3" s="51"/>
      <c r="D3" s="51"/>
      <c r="E3" s="51"/>
      <c r="F3" s="51"/>
      <c r="G3" s="51"/>
      <c r="H3" s="51"/>
    </row>
    <row r="4" customFormat="false" ht="15" hidden="false" customHeight="false" outlineLevel="0" collapsed="false">
      <c r="A4" s="52" t="s">
        <v>230</v>
      </c>
    </row>
    <row r="5" customFormat="false" ht="23.85" hidden="false" customHeight="false" outlineLevel="0" collapsed="false">
      <c r="A5" s="3" t="s">
        <v>78</v>
      </c>
      <c r="B5" s="3" t="s">
        <v>79</v>
      </c>
      <c r="C5" s="3" t="s">
        <v>80</v>
      </c>
      <c r="D5" s="3" t="s">
        <v>82</v>
      </c>
      <c r="E5" s="3" t="s">
        <v>83</v>
      </c>
      <c r="F5" s="3" t="s">
        <v>84</v>
      </c>
      <c r="G5" s="3" t="s">
        <v>85</v>
      </c>
      <c r="H5" s="3" t="s">
        <v>231</v>
      </c>
    </row>
    <row r="6" customFormat="false" ht="30" hidden="false" customHeight="true" outlineLevel="0" collapsed="false">
      <c r="A6" s="53" t="s">
        <v>99</v>
      </c>
      <c r="B6" s="5" t="s">
        <v>89</v>
      </c>
      <c r="C6" s="5" t="s">
        <v>100</v>
      </c>
      <c r="D6" s="54" t="s">
        <v>92</v>
      </c>
      <c r="E6" s="54" t="s">
        <v>57</v>
      </c>
      <c r="F6" s="54" t="s">
        <v>88</v>
      </c>
      <c r="G6" s="54" t="n">
        <v>1</v>
      </c>
      <c r="H6" s="5" t="s">
        <v>274</v>
      </c>
    </row>
    <row r="7" customFormat="false" ht="30" hidden="false" customHeight="true" outlineLevel="0" collapsed="false">
      <c r="A7" s="55" t="s">
        <v>116</v>
      </c>
      <c r="B7" s="8" t="s">
        <v>102</v>
      </c>
      <c r="C7" s="8" t="s">
        <v>117</v>
      </c>
      <c r="D7" s="56" t="s">
        <v>108</v>
      </c>
      <c r="E7" s="56" t="s">
        <v>8</v>
      </c>
      <c r="F7" s="56" t="s">
        <v>104</v>
      </c>
      <c r="G7" s="56" t="n">
        <v>2</v>
      </c>
      <c r="H7" s="8" t="s">
        <v>275</v>
      </c>
    </row>
    <row r="8" customFormat="false" ht="30" hidden="false" customHeight="true" outlineLevel="0" collapsed="false">
      <c r="A8" s="53" t="s">
        <v>121</v>
      </c>
      <c r="B8" s="5" t="s">
        <v>119</v>
      </c>
      <c r="C8" s="5" t="s">
        <v>122</v>
      </c>
      <c r="D8" s="54" t="s">
        <v>92</v>
      </c>
      <c r="E8" s="54" t="s">
        <v>57</v>
      </c>
      <c r="F8" s="54" t="s">
        <v>113</v>
      </c>
      <c r="G8" s="54" t="n">
        <v>1</v>
      </c>
      <c r="H8" s="5" t="s">
        <v>276</v>
      </c>
    </row>
    <row r="9" customFormat="false" ht="30" hidden="false" customHeight="true" outlineLevel="0" collapsed="false">
      <c r="A9" s="55" t="s">
        <v>174</v>
      </c>
      <c r="B9" s="8" t="s">
        <v>175</v>
      </c>
      <c r="C9" s="8" t="s">
        <v>176</v>
      </c>
      <c r="D9" s="56" t="s">
        <v>150</v>
      </c>
      <c r="E9" s="56" t="s">
        <v>20</v>
      </c>
      <c r="F9" s="56" t="s">
        <v>116</v>
      </c>
      <c r="G9" s="56" t="n">
        <v>1</v>
      </c>
      <c r="H9" s="8" t="s">
        <v>277</v>
      </c>
    </row>
    <row r="10" customFormat="false" ht="30" hidden="false" customHeight="true" outlineLevel="0" collapsed="false">
      <c r="A10" s="53" t="s">
        <v>177</v>
      </c>
      <c r="B10" s="5" t="s">
        <v>175</v>
      </c>
      <c r="C10" s="5" t="s">
        <v>178</v>
      </c>
      <c r="D10" s="54" t="s">
        <v>150</v>
      </c>
      <c r="E10" s="54" t="s">
        <v>20</v>
      </c>
      <c r="F10" s="54" t="s">
        <v>179</v>
      </c>
      <c r="G10" s="54" t="n">
        <v>1</v>
      </c>
      <c r="H10" s="5" t="s">
        <v>278</v>
      </c>
    </row>
    <row r="11" customFormat="false" ht="30" hidden="false" customHeight="true" outlineLevel="0" collapsed="false">
      <c r="A11" s="55" t="s">
        <v>180</v>
      </c>
      <c r="B11" s="8" t="s">
        <v>175</v>
      </c>
      <c r="C11" s="9" t="s">
        <v>181</v>
      </c>
      <c r="D11" s="56" t="s">
        <v>150</v>
      </c>
      <c r="E11" s="56" t="s">
        <v>20</v>
      </c>
      <c r="F11" s="56" t="s">
        <v>138</v>
      </c>
      <c r="G11" s="56" t="n">
        <v>1</v>
      </c>
      <c r="H11" s="8" t="s">
        <v>279</v>
      </c>
    </row>
    <row r="12" customFormat="false" ht="30" hidden="false" customHeight="true" outlineLevel="0" collapsed="false">
      <c r="A12" s="53" t="s">
        <v>182</v>
      </c>
      <c r="B12" s="5" t="s">
        <v>175</v>
      </c>
      <c r="C12" s="5" t="s">
        <v>183</v>
      </c>
      <c r="D12" s="54" t="s">
        <v>150</v>
      </c>
      <c r="E12" s="54" t="s">
        <v>20</v>
      </c>
      <c r="F12" s="54" t="s">
        <v>184</v>
      </c>
      <c r="G12" s="54" t="n">
        <v>1</v>
      </c>
      <c r="H12" s="5" t="s">
        <v>280</v>
      </c>
    </row>
    <row r="13" customFormat="false" ht="30" hidden="false" customHeight="true" outlineLevel="0" collapsed="false">
      <c r="A13" s="55" t="s">
        <v>185</v>
      </c>
      <c r="B13" s="8" t="s">
        <v>186</v>
      </c>
      <c r="C13" s="57" t="s">
        <v>187</v>
      </c>
      <c r="D13" s="56" t="s">
        <v>150</v>
      </c>
      <c r="E13" s="56" t="s">
        <v>20</v>
      </c>
      <c r="F13" s="56" t="s">
        <v>138</v>
      </c>
      <c r="G13" s="56" t="n">
        <v>1</v>
      </c>
      <c r="H13" s="8" t="s">
        <v>281</v>
      </c>
    </row>
    <row r="14" customFormat="false" ht="30" hidden="false" customHeight="true" outlineLevel="0" collapsed="false">
      <c r="A14" s="53" t="s">
        <v>188</v>
      </c>
      <c r="B14" s="5" t="s">
        <v>186</v>
      </c>
      <c r="C14" s="5" t="s">
        <v>189</v>
      </c>
      <c r="D14" s="54" t="s">
        <v>150</v>
      </c>
      <c r="E14" s="54" t="s">
        <v>20</v>
      </c>
      <c r="F14" s="54" t="s">
        <v>190</v>
      </c>
      <c r="G14" s="54" t="n">
        <v>1</v>
      </c>
      <c r="H14" s="5" t="s">
        <v>282</v>
      </c>
    </row>
    <row r="15" customFormat="false" ht="30" hidden="false" customHeight="true" outlineLevel="0" collapsed="false">
      <c r="A15" s="55" t="s">
        <v>191</v>
      </c>
      <c r="B15" s="8" t="s">
        <v>186</v>
      </c>
      <c r="C15" s="8" t="s">
        <v>192</v>
      </c>
      <c r="D15" s="56" t="s">
        <v>150</v>
      </c>
      <c r="E15" s="56" t="s">
        <v>20</v>
      </c>
      <c r="F15" s="56" t="s">
        <v>193</v>
      </c>
      <c r="G15" s="56" t="n">
        <v>1</v>
      </c>
      <c r="H15" s="8" t="s">
        <v>283</v>
      </c>
    </row>
    <row r="16" customFormat="false" ht="30" hidden="false" customHeight="true" outlineLevel="0" collapsed="false">
      <c r="A16" s="53" t="s">
        <v>194</v>
      </c>
      <c r="B16" s="5" t="s">
        <v>195</v>
      </c>
      <c r="C16" s="6" t="s">
        <v>196</v>
      </c>
      <c r="D16" s="54" t="s">
        <v>173</v>
      </c>
      <c r="E16" s="54" t="s">
        <v>20</v>
      </c>
      <c r="F16" s="54" t="s">
        <v>197</v>
      </c>
      <c r="G16" s="54" t="n">
        <v>1</v>
      </c>
      <c r="H16" s="5" t="s">
        <v>284</v>
      </c>
    </row>
    <row r="17" customFormat="false" ht="30" hidden="false" customHeight="true" outlineLevel="0" collapsed="false">
      <c r="A17" s="55" t="s">
        <v>198</v>
      </c>
      <c r="B17" s="8" t="s">
        <v>199</v>
      </c>
      <c r="C17" s="8" t="s">
        <v>200</v>
      </c>
      <c r="D17" s="56" t="s">
        <v>201</v>
      </c>
      <c r="E17" s="56" t="s">
        <v>26</v>
      </c>
      <c r="F17" s="56" t="s">
        <v>202</v>
      </c>
      <c r="G17" s="56" t="n">
        <v>1</v>
      </c>
      <c r="H17" s="8" t="s">
        <v>285</v>
      </c>
    </row>
    <row r="18" customFormat="false" ht="30" hidden="false" customHeight="true" outlineLevel="0" collapsed="false">
      <c r="A18" s="53" t="s">
        <v>203</v>
      </c>
      <c r="B18" s="5" t="s">
        <v>199</v>
      </c>
      <c r="C18" s="5" t="s">
        <v>204</v>
      </c>
      <c r="D18" s="54" t="s">
        <v>201</v>
      </c>
      <c r="E18" s="54" t="s">
        <v>26</v>
      </c>
      <c r="F18" s="54" t="s">
        <v>198</v>
      </c>
      <c r="G18" s="54" t="n">
        <v>1</v>
      </c>
      <c r="H18" s="5" t="s">
        <v>286</v>
      </c>
    </row>
    <row r="19" customFormat="false" ht="30" hidden="false" customHeight="true" outlineLevel="0" collapsed="false">
      <c r="A19" s="55" t="s">
        <v>218</v>
      </c>
      <c r="B19" s="8" t="s">
        <v>208</v>
      </c>
      <c r="C19" s="8" t="s">
        <v>219</v>
      </c>
      <c r="D19" s="56" t="s">
        <v>201</v>
      </c>
      <c r="E19" s="56" t="s">
        <v>26</v>
      </c>
      <c r="F19" s="56" t="s">
        <v>198</v>
      </c>
      <c r="G19" s="56" t="n">
        <v>2</v>
      </c>
      <c r="H19" s="8" t="s">
        <v>287</v>
      </c>
    </row>
    <row r="20" customFormat="false" ht="30" hidden="false" customHeight="true" outlineLevel="0" collapsed="false">
      <c r="A20" s="53" t="s">
        <v>226</v>
      </c>
      <c r="B20" s="5" t="s">
        <v>208</v>
      </c>
      <c r="C20" s="59" t="s">
        <v>227</v>
      </c>
      <c r="D20" s="54" t="s">
        <v>201</v>
      </c>
      <c r="E20" s="54" t="s">
        <v>26</v>
      </c>
      <c r="F20" s="54" t="s">
        <v>228</v>
      </c>
      <c r="G20" s="54" t="n">
        <v>1</v>
      </c>
      <c r="H20" s="5" t="s">
        <v>288</v>
      </c>
    </row>
    <row r="22" customFormat="false" ht="15" hidden="false" customHeight="false" outlineLevel="0" collapsed="false">
      <c r="A22" s="58" t="s">
        <v>240</v>
      </c>
    </row>
    <row r="23" customFormat="false" ht="23.85" hidden="false" customHeight="false" outlineLevel="0" collapsed="false">
      <c r="A23" s="3" t="s">
        <v>78</v>
      </c>
      <c r="B23" s="3" t="s">
        <v>80</v>
      </c>
      <c r="C23" s="3" t="s">
        <v>47</v>
      </c>
      <c r="D23" s="3" t="s">
        <v>82</v>
      </c>
    </row>
    <row r="24" customFormat="false" ht="25.5" hidden="false" customHeight="true" outlineLevel="0" collapsed="false">
      <c r="A24" s="54" t="s">
        <v>88</v>
      </c>
      <c r="B24" s="5" t="s">
        <v>90</v>
      </c>
      <c r="C24" s="54" t="s">
        <v>8</v>
      </c>
      <c r="D24" s="54" t="s">
        <v>92</v>
      </c>
    </row>
    <row r="25" customFormat="false" ht="25.5" hidden="false" customHeight="true" outlineLevel="0" collapsed="false">
      <c r="A25" s="56" t="s">
        <v>95</v>
      </c>
      <c r="B25" s="8" t="s">
        <v>96</v>
      </c>
      <c r="C25" s="56" t="s">
        <v>8</v>
      </c>
      <c r="D25" s="56" t="s">
        <v>92</v>
      </c>
    </row>
    <row r="26" customFormat="false" ht="25.5" hidden="false" customHeight="true" outlineLevel="0" collapsed="false">
      <c r="A26" s="54" t="s">
        <v>106</v>
      </c>
      <c r="B26" s="5" t="s">
        <v>107</v>
      </c>
      <c r="C26" s="54" t="s">
        <v>14</v>
      </c>
      <c r="D26" s="54" t="s">
        <v>108</v>
      </c>
    </row>
    <row r="27" customFormat="false" ht="25.5" hidden="false" customHeight="true" outlineLevel="0" collapsed="false">
      <c r="A27" s="56" t="s">
        <v>111</v>
      </c>
      <c r="B27" s="8" t="s">
        <v>112</v>
      </c>
      <c r="C27" s="56" t="s">
        <v>14</v>
      </c>
      <c r="D27" s="56" t="s">
        <v>92</v>
      </c>
    </row>
    <row r="28" customFormat="false" ht="25.5" hidden="false" customHeight="true" outlineLevel="0" collapsed="false">
      <c r="A28" s="54" t="s">
        <v>123</v>
      </c>
      <c r="B28" s="5" t="s">
        <v>124</v>
      </c>
      <c r="C28" s="54" t="s">
        <v>8</v>
      </c>
      <c r="D28" s="54" t="s">
        <v>92</v>
      </c>
    </row>
    <row r="29" customFormat="false" ht="25.5" hidden="false" customHeight="true" outlineLevel="0" collapsed="false">
      <c r="A29" s="56" t="s">
        <v>138</v>
      </c>
      <c r="B29" s="8" t="s">
        <v>139</v>
      </c>
      <c r="C29" s="56" t="s">
        <v>20</v>
      </c>
      <c r="D29" s="56" t="s">
        <v>128</v>
      </c>
    </row>
    <row r="30" customFormat="false" ht="25.5" hidden="false" customHeight="true" outlineLevel="0" collapsed="false">
      <c r="A30" s="54" t="s">
        <v>148</v>
      </c>
      <c r="B30" s="5" t="s">
        <v>149</v>
      </c>
      <c r="C30" s="54" t="s">
        <v>14</v>
      </c>
      <c r="D30" s="54" t="s">
        <v>150</v>
      </c>
    </row>
    <row r="31" customFormat="false" ht="25.5" hidden="false" customHeight="true" outlineLevel="0" collapsed="false">
      <c r="A31" s="56" t="s">
        <v>165</v>
      </c>
      <c r="B31" s="8" t="s">
        <v>167</v>
      </c>
      <c r="C31" s="56" t="s">
        <v>26</v>
      </c>
      <c r="D31" s="56" t="s">
        <v>150</v>
      </c>
    </row>
    <row r="32" customFormat="false" ht="25.5" hidden="false" customHeight="true" outlineLevel="0" collapsed="false">
      <c r="A32" s="54" t="s">
        <v>168</v>
      </c>
      <c r="B32" s="5" t="s">
        <v>169</v>
      </c>
      <c r="C32" s="54" t="s">
        <v>26</v>
      </c>
      <c r="D32" s="54" t="s">
        <v>150</v>
      </c>
    </row>
    <row r="33" customFormat="false" ht="25.5" hidden="false" customHeight="true" outlineLevel="0" collapsed="false">
      <c r="A33" s="56" t="s">
        <v>207</v>
      </c>
      <c r="B33" s="8" t="s">
        <v>209</v>
      </c>
      <c r="C33" s="56" t="s">
        <v>8</v>
      </c>
      <c r="D33" s="56" t="s">
        <v>210</v>
      </c>
    </row>
    <row r="34" customFormat="false" ht="25.5" hidden="false" customHeight="true" outlineLevel="0" collapsed="false">
      <c r="A34" s="54" t="s">
        <v>214</v>
      </c>
      <c r="B34" s="5" t="s">
        <v>215</v>
      </c>
      <c r="C34" s="54" t="s">
        <v>20</v>
      </c>
      <c r="D34" s="54" t="s">
        <v>213</v>
      </c>
    </row>
    <row r="35" customFormat="false" ht="25.5" hidden="false" customHeight="true" outlineLevel="0" collapsed="false">
      <c r="A35" s="56" t="s">
        <v>216</v>
      </c>
      <c r="B35" s="8" t="s">
        <v>217</v>
      </c>
      <c r="C35" s="56" t="s">
        <v>26</v>
      </c>
      <c r="D35" s="56" t="s">
        <v>201</v>
      </c>
    </row>
    <row r="36" customFormat="false" ht="25.5" hidden="false" customHeight="true" outlineLevel="0" collapsed="false">
      <c r="A36" s="54" t="s">
        <v>220</v>
      </c>
      <c r="B36" s="5" t="s">
        <v>221</v>
      </c>
      <c r="C36" s="54" t="s">
        <v>8</v>
      </c>
      <c r="D36" s="54" t="s">
        <v>201</v>
      </c>
    </row>
    <row r="37" customFormat="false" ht="25.5" hidden="false" customHeight="true" outlineLevel="0" collapsed="false">
      <c r="A37" s="56" t="s">
        <v>222</v>
      </c>
      <c r="B37" s="8" t="s">
        <v>223</v>
      </c>
      <c r="C37" s="56" t="s">
        <v>20</v>
      </c>
      <c r="D37" s="56" t="s">
        <v>201</v>
      </c>
    </row>
    <row r="38" customFormat="false" ht="25.5" hidden="false" customHeight="true" outlineLevel="0" collapsed="false">
      <c r="A38" s="54" t="s">
        <v>224</v>
      </c>
      <c r="B38" s="5" t="s">
        <v>225</v>
      </c>
      <c r="C38" s="54" t="s">
        <v>8</v>
      </c>
      <c r="D38" s="54" t="s">
        <v>210</v>
      </c>
    </row>
  </sheetData>
  <mergeCells count="2">
    <mergeCell ref="A1:H1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</cols>
  <sheetData>
    <row r="1" customFormat="false" ht="25.5" hidden="false" customHeight="true" outlineLevel="0" collapsed="false">
      <c r="A1" s="1" t="s">
        <v>289</v>
      </c>
      <c r="B1" s="1"/>
      <c r="C1" s="1"/>
      <c r="D1" s="1"/>
    </row>
    <row r="3" customFormat="false" ht="15" hidden="false" customHeight="false" outlineLevel="0" collapsed="false">
      <c r="A3" s="60" t="s">
        <v>290</v>
      </c>
      <c r="B3" s="61" t="n">
        <f aca="false">COUNTA('Master Task List'!$A$4:$A$55)</f>
        <v>52</v>
      </c>
    </row>
    <row r="4" customFormat="false" ht="15" hidden="false" customHeight="false" outlineLevel="0" collapsed="false">
      <c r="A4" s="60" t="s">
        <v>94</v>
      </c>
      <c r="B4" s="61" t="n">
        <f aca="false">COUNTIF('Master Task List'!$J$4:$J$55,"Not started")</f>
        <v>52</v>
      </c>
    </row>
    <row r="5" customFormat="false" ht="15" hidden="false" customHeight="false" outlineLevel="0" collapsed="false">
      <c r="A5" s="60" t="s">
        <v>291</v>
      </c>
      <c r="B5" s="61" t="n">
        <f aca="false">COUNTIF('Master Task List'!$J$4:$J$55,"In progress")</f>
        <v>0</v>
      </c>
    </row>
    <row r="6" customFormat="false" ht="15" hidden="false" customHeight="false" outlineLevel="0" collapsed="false">
      <c r="A6" s="60" t="s">
        <v>292</v>
      </c>
      <c r="B6" s="61" t="n">
        <f aca="false">COUNTIF('Master Task List'!$J$4:$J$55,"Blocked")</f>
        <v>0</v>
      </c>
    </row>
    <row r="7" customFormat="false" ht="15" hidden="false" customHeight="false" outlineLevel="0" collapsed="false">
      <c r="A7" s="60" t="s">
        <v>293</v>
      </c>
      <c r="B7" s="61" t="n">
        <f aca="false">COUNTIF('Master Task List'!$J$4:$J$55,"Done")</f>
        <v>0</v>
      </c>
    </row>
    <row r="8" customFormat="false" ht="15" hidden="false" customHeight="false" outlineLevel="0" collapsed="false">
      <c r="A8" s="60" t="s">
        <v>294</v>
      </c>
      <c r="B8" s="62" t="n">
        <f aca="false">IFERROR(COUNTIF('Master Task List'!$J$4:$J$55,"Done")/COUNTA('Master Task List'!$A$4:$A$55),0)</f>
        <v>0</v>
      </c>
    </row>
    <row r="10" customFormat="false" ht="15" hidden="false" customHeight="false" outlineLevel="0" collapsed="false">
      <c r="A10" s="58" t="s">
        <v>295</v>
      </c>
    </row>
    <row r="11" customFormat="false" ht="15" hidden="false" customHeight="false" outlineLevel="0" collapsed="false">
      <c r="A11" s="3" t="s">
        <v>296</v>
      </c>
      <c r="B11" s="3" t="s">
        <v>297</v>
      </c>
      <c r="C11" s="3" t="s">
        <v>298</v>
      </c>
      <c r="D11" s="3" t="s">
        <v>293</v>
      </c>
    </row>
    <row r="12" customFormat="false" ht="15" hidden="false" customHeight="false" outlineLevel="0" collapsed="false">
      <c r="A12" s="63" t="s">
        <v>8</v>
      </c>
      <c r="B12" s="54" t="n">
        <f aca="false">COUNTIF('Master Task List'!$D$4:$D$55,"M1")</f>
        <v>9</v>
      </c>
      <c r="C12" s="64" t="n">
        <v>2</v>
      </c>
      <c r="D12" s="54" t="n">
        <f aca="false">COUNTIFS('Master Task List'!$D$4:$D$55,"M1",'Master Task List'!$J$4:$J$55,"Done")</f>
        <v>0</v>
      </c>
    </row>
    <row r="13" customFormat="false" ht="15" hidden="false" customHeight="false" outlineLevel="0" collapsed="false">
      <c r="A13" s="65" t="s">
        <v>14</v>
      </c>
      <c r="B13" s="56" t="n">
        <f aca="false">COUNTIF('Master Task List'!$D$4:$D$55,"M2")</f>
        <v>10</v>
      </c>
      <c r="C13" s="66" t="n">
        <v>3</v>
      </c>
      <c r="D13" s="56" t="n">
        <f aca="false">COUNTIFS('Master Task List'!$D$4:$D$55,"M2",'Master Task List'!$J$4:$J$55,"Done")</f>
        <v>0</v>
      </c>
    </row>
    <row r="14" customFormat="false" ht="15" hidden="false" customHeight="false" outlineLevel="0" collapsed="false">
      <c r="A14" s="63" t="s">
        <v>20</v>
      </c>
      <c r="B14" s="54" t="n">
        <f aca="false">COUNTIF('Master Task List'!$D$4:$D$55,"M3")</f>
        <v>8</v>
      </c>
      <c r="C14" s="64" t="n">
        <v>2</v>
      </c>
      <c r="D14" s="54" t="n">
        <f aca="false">COUNTIFS('Master Task List'!$D$4:$D$55,"M3",'Master Task List'!$J$4:$J$55,"Done")</f>
        <v>0</v>
      </c>
    </row>
    <row r="15" customFormat="false" ht="15" hidden="false" customHeight="false" outlineLevel="0" collapsed="false">
      <c r="A15" s="65" t="s">
        <v>26</v>
      </c>
      <c r="B15" s="56" t="n">
        <f aca="false">COUNTIF('Master Task List'!$D$4:$D$55,"M4")</f>
        <v>10</v>
      </c>
      <c r="C15" s="66" t="n">
        <v>4</v>
      </c>
      <c r="D15" s="56" t="n">
        <f aca="false">COUNTIFS('Master Task List'!$D$4:$D$55,"M4",'Master Task List'!$J$4:$J$55,"Done")</f>
        <v>0</v>
      </c>
    </row>
    <row r="16" customFormat="false" ht="15" hidden="false" customHeight="false" outlineLevel="0" collapsed="false">
      <c r="A16" s="63" t="s">
        <v>32</v>
      </c>
      <c r="B16" s="54" t="n">
        <f aca="false">COUNTIF('Master Task List'!$D$4:$D$55,"M5")</f>
        <v>15</v>
      </c>
      <c r="C16" s="64" t="n">
        <v>2</v>
      </c>
      <c r="D16" s="54" t="n">
        <f aca="false">COUNTIFS('Master Task List'!$D$4:$D$55,"M5",'Master Task List'!$J$4:$J$55,"Done")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2026-07-28T04:20:28Z</dcterms:created>
  <dc:creator>openpyxl</dc:creator>
  <dc:description/>
  <dc:language>en-US</dc:language>
  <cp:lastModifiedBy/>
  <dcterms:modified xsi:type="dcterms:W3CDTF">2026-07-28T04:20:28Z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